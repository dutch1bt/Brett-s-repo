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yder Cup Leaderboard" sheetId="1" r:id="rId5"/>
    <sheet state="hidden" name="Matches" sheetId="2" r:id="rId6"/>
    <sheet state="hidden" name="3-man Scramble" sheetId="3" r:id="rId7"/>
    <sheet state="hidden" name="Sheet26" sheetId="4" r:id="rId8"/>
    <sheet state="hidden" name="Match Play" sheetId="5" r:id="rId9"/>
    <sheet state="hidden" name="Best Ball" sheetId="6" r:id="rId10"/>
    <sheet state="hidden" name="Sunday Scramble" sheetId="7" r:id="rId11"/>
    <sheet state="hidden" name="Schedule New" sheetId="8" r:id="rId12"/>
    <sheet state="hidden" name="Sheet24" sheetId="9" r:id="rId13"/>
    <sheet state="hidden" name="Schedule" sheetId="10" r:id="rId14"/>
    <sheet state="hidden" name="Tee Times" sheetId="11" r:id="rId15"/>
    <sheet state="visible" name="Itinerary" sheetId="12" r:id="rId16"/>
    <sheet state="visible" name="Course Schedule" sheetId="13" r:id="rId17"/>
    <sheet state="visible" name="Room Listing" sheetId="14" r:id="rId18"/>
    <sheet state="visible" name="Tee Sheet" sheetId="15" r:id="rId19"/>
    <sheet state="visible" name="Handicaps" sheetId="16" r:id="rId20"/>
    <sheet state="visible" name="Day 1 Best Ball" sheetId="17" r:id="rId21"/>
    <sheet state="visible" name="Day 2 Flights" sheetId="18" r:id="rId22"/>
    <sheet state="visible" name="Day 3 Knockout" sheetId="19" r:id="rId23"/>
    <sheet state="hidden" name="Map" sheetId="20" r:id="rId24"/>
    <sheet state="visible" name="Sandbaggers Archive" sheetId="21" r:id="rId25"/>
    <sheet state="hidden" name="RSVP" sheetId="22" r:id="rId26"/>
    <sheet state="hidden" name="Community Check list " sheetId="23" r:id="rId27"/>
    <sheet state="hidden" name="Best Ball Scrolf" sheetId="24" r:id="rId28"/>
    <sheet state="hidden" name="Scramble Scrolf" sheetId="25" r:id="rId29"/>
    <sheet state="hidden" name="Points" sheetId="26" r:id="rId30"/>
    <sheet state="hidden" name="Match Play Scrolf 1" sheetId="27" r:id="rId31"/>
    <sheet state="hidden" name="Match Play Scolf 2" sheetId="28" r:id="rId32"/>
    <sheet state="hidden" name="Match Play Scrolf 3" sheetId="29" r:id="rId33"/>
    <sheet state="hidden" name="Gambling" sheetId="30" r:id="rId34"/>
  </sheets>
  <definedNames>
    <definedName name="MPFlight1Total">'Match Play'!$E$3:$E$6</definedName>
    <definedName name="BestBallPointsFifthDefault">Points!$G$9</definedName>
    <definedName name="PushPoints">Matches!$B$43</definedName>
    <definedName name="ScramblePointsSixth">Points!$L$35:$M$37</definedName>
    <definedName name="RedP4">Schedule!$C$28</definedName>
    <definedName localSheetId="7" name="BlueP1">'Schedule New'!$C$18</definedName>
    <definedName name="BestBallPointsEighth">Points!$P$60:$Q$64</definedName>
    <definedName name="WhiteP1">Schedule!$C$4</definedName>
    <definedName localSheetId="7" name="RedP2">'Schedule New'!$C$26</definedName>
    <definedName name="RedP5">Schedule!$C$29</definedName>
    <definedName name="BestBall">'Best Ball Scrolf'!$B:$B</definedName>
    <definedName name="ScramblePointsThirdDefault">Points!$K$7</definedName>
    <definedName name="MatchPlay3_VL">'Match Play Scrolf 3'!$B:$D</definedName>
    <definedName name="BlackP5">Schedule!$C$15</definedName>
    <definedName name="BestBallPointsTwelvthDefault">Points!$G$16</definedName>
    <definedName name="BestBallPointsFourthDefault">Points!$G$8</definedName>
    <definedName name="BlackP3">Schedule!$C$13</definedName>
    <definedName name="BlueP1">Schedule!$C$18</definedName>
    <definedName name="BestBallPointsSeventh">Points!$N$60:$O$65</definedName>
    <definedName localSheetId="7" name="BlackP2">'Schedule New'!$C$12</definedName>
    <definedName name="ScramblePointsEighth">Points!$P$35:$Q$35</definedName>
    <definedName name="BestBallPointsEleventh">Points!$V$60:$W$61</definedName>
    <definedName name="MPPointsH">Points!$C$20</definedName>
    <definedName localSheetId="7" name="RedP4">'Schedule New'!$C$28</definedName>
    <definedName name="BestBallPointsThirdDefault">Points!$G$7</definedName>
    <definedName name="BestBallPointsEighthDefault">Points!$G$12</definedName>
    <definedName localSheetId="7" name="RedP1">'Schedule New'!$C$25</definedName>
    <definedName name="MPFlight6Total">'Match Play'!$E$38:$E$41</definedName>
    <definedName localSheetId="7" name="WhiteP6">'Schedule New'!$C$9</definedName>
    <definedName name="ScramblePoints_VL">Points!$B$24:$C$31</definedName>
    <definedName name="WhiteP2">Schedule!$C$5</definedName>
    <definedName name="ScramblePointsFirstDefault">Points!$K$5</definedName>
    <definedName name="ScramblePointsFirst">Points!$B$35:$C$42</definedName>
    <definedName name="BestBallPointsEleventhDefault">Points!$G$15</definedName>
    <definedName name="ScramblePointsSixthDefault">Points!$K$10</definedName>
    <definedName name="MatchPlay2_VL">'Match Play Scolf 2'!$B:$D</definedName>
    <definedName name="ScramblePointsSeventhDefault">Points!$K$11</definedName>
    <definedName name="BlueP5">Schedule!$C$22</definedName>
    <definedName name="BlackP2">Schedule!$C$12</definedName>
    <definedName name="MatchPlay3">'Match Play Scrolf 3'!$B:$B</definedName>
    <definedName name="ScramblePointsFifth">Points!$J$35:$K$38</definedName>
    <definedName name="RedP3">Schedule!$C$27</definedName>
    <definedName localSheetId="7" name="BlackP3">'Schedule New'!$C$13</definedName>
    <definedName localSheetId="7" name="BlueP2">'Schedule New'!$C$19</definedName>
    <definedName name="RedP2">Schedule!$C$26</definedName>
    <definedName localSheetId="7" name="BlueP6">'Schedule New'!$C$23</definedName>
    <definedName name="MPFlight5Total">'Match Play'!$E$31:$E$34</definedName>
    <definedName localSheetId="7" name="RedP6">'Schedule New'!$C$30</definedName>
    <definedName name="MatchPlayPoints_VL">Points!$B$5:$C$8</definedName>
    <definedName name="MPFlight3Total">'Match Play'!$E$17:$E$20</definedName>
    <definedName localSheetId="7" name="BlueP5">'Schedule New'!$C$22</definedName>
    <definedName name="ScramblePointsFifthDefault">Points!$K$9</definedName>
    <definedName name="BestBallPointsNinethDefault">Points!$G$13</definedName>
    <definedName name="MPPointsL">Points!$C$21</definedName>
    <definedName localSheetId="7" name="BlueP4">'Schedule New'!$C$21</definedName>
    <definedName name="BlueP2">Schedule!$C$19</definedName>
    <definedName name="BestBallPointsSecondDefault">Points!$G$6</definedName>
    <definedName name="BestBallPointsSecond">Points!$D$60:$E$70</definedName>
    <definedName name="BestBallPointsFirst">Points!$B$60:$C$71</definedName>
    <definedName localSheetId="25" name="Points_BB">Points!$F$5:$G$8</definedName>
    <definedName name="ScramblePointsSecondDefault">Points!$K$6</definedName>
    <definedName name="BestBallPointsFourth">Points!$H$60:$I$68</definedName>
    <definedName name="BestBallPointsTenth">Points!$T$60:$U$62</definedName>
    <definedName name="BestBallPointsSixth">Points!$L$60:$M$66</definedName>
    <definedName localSheetId="7" name="BlackP6">'Schedule New'!$C$16</definedName>
    <definedName name="WinPoints">Matches!$B$41</definedName>
    <definedName localSheetId="7" name="WhiteP2">'Schedule New'!$C$5</definedName>
    <definedName name="BlackP4">Schedule!$C$14</definedName>
    <definedName localSheetId="7" name="BlackP5">'Schedule New'!$C$15</definedName>
    <definedName name="ScramblePointsEighthDefault">Points!$K$12</definedName>
    <definedName name="ScrambleLeaderboard">'Scramble Scrolf'!$A:$A</definedName>
    <definedName name="BlueP4">Schedule!$C$21</definedName>
    <definedName name="WhiteP4">Schedule!$C$7</definedName>
    <definedName name="ScramblePointsFourth">Points!$H$35:$I$39</definedName>
    <definedName localSheetId="7" name="BlackP4">'Schedule New'!$C$14</definedName>
    <definedName localSheetId="7" name="WhiteP3">'Schedule New'!$C$6</definedName>
    <definedName name="BestBallPointsTenthDefault">Points!$G$14</definedName>
    <definedName name="BlackP1">Schedule!$C$11</definedName>
    <definedName name="BlueP3">Schedule!$C$20</definedName>
    <definedName localSheetId="7" name="WhiteP1">'Schedule New'!$C$4</definedName>
    <definedName name="MatchPlay1">'Match Play Scrolf 1'!$B:$B</definedName>
    <definedName localSheetId="7" name="BlueP3">'Schedule New'!$C$20</definedName>
    <definedName name="MatchPlay2">'Match Play Scolf 2'!$B:$B</definedName>
    <definedName localSheetId="7" name="WhiteP5">'Schedule New'!$C$8</definedName>
    <definedName localSheetId="7" name="BlackP1">'Schedule New'!$C$11</definedName>
    <definedName name="MPPointsW">Points!$C$19</definedName>
    <definedName name="WhiteP5">Schedule!$C$8</definedName>
    <definedName name="BestBallPointsSeventhDefault">Points!$G$11</definedName>
    <definedName name="WhiteP3">Schedule!$C$6</definedName>
    <definedName localSheetId="7" name="RedP5">'Schedule New'!$C$29</definedName>
    <definedName localSheetId="7" name="RedP3">'Schedule New'!$C$27</definedName>
    <definedName name="ScramblePointsSeventh">Points!$N$35:$O$36</definedName>
    <definedName name="WhiteP6">Schedule!$C$9</definedName>
    <definedName name="MPFlight2Total">'Match Play'!$E$10:$E$13</definedName>
    <definedName name="ScramblePointsSecond">Points!$D$35:$E$41</definedName>
    <definedName name="Scramble">'Scramble Scrolf'!$B:$B</definedName>
    <definedName name="BestBallPointsFifth">Points!$J$60:$K$67</definedName>
    <definedName name="BlueP6">Schedule!$C$23</definedName>
    <definedName name="ScramblePointsFourthDefault">Points!$K$8</definedName>
    <definedName name="BestBallPointsTwelvth">Points!$Y$60</definedName>
    <definedName name="BestBallLeaderboard">'Best Ball Scrolf'!$A:$A</definedName>
    <definedName name="BestBallPointsThird">Points!$F$60:$G$69</definedName>
    <definedName name="MPFlight4Total">'Match Play'!$E$24:$E$27</definedName>
    <definedName name="RedP1">Schedule!$C$25</definedName>
    <definedName name="MatchPlay1_VL">'Match Play Scrolf 1'!$B:$D</definedName>
    <definedName name="BestBallPointsSixthDefault">Points!$G$10</definedName>
    <definedName name="BestBallPointsFirstDefault">Points!$G$5</definedName>
    <definedName localSheetId="25" name="Points_MP">Points!$B$5:$C$8</definedName>
    <definedName localSheetId="7" name="WhiteP4">'Schedule New'!$C$7</definedName>
    <definedName name="BlackP6">Schedule!$C$16</definedName>
    <definedName name="RedP6">Schedule!$C$30</definedName>
    <definedName name="ScramblePointsThird">Points!$F$35:$G$40</definedName>
    <definedName name="BestBallPointsNineth">Points!$R$60:$S$63</definedName>
    <definedName name="BestBallPoints_VL">Points!$B$45:$C$56</definedName>
  </definedNames>
  <calcPr/>
</workbook>
</file>

<file path=xl/sharedStrings.xml><?xml version="1.0" encoding="utf-8"?>
<sst xmlns="http://schemas.openxmlformats.org/spreadsheetml/2006/main" count="1351" uniqueCount="452">
  <si>
    <t>SEMIS MATCH 1</t>
  </si>
  <si>
    <t>TEAM BAD</t>
  </si>
  <si>
    <t>TEAM ROB</t>
  </si>
  <si>
    <t>SEMIS MATCH 2</t>
  </si>
  <si>
    <t>TEAM MITCH</t>
  </si>
  <si>
    <t>TEAM AUGUSTA</t>
  </si>
  <si>
    <t>FINALS</t>
  </si>
  <si>
    <t>TBD</t>
  </si>
  <si>
    <t>LOSERS</t>
  </si>
  <si>
    <t>RYDER CUP SEMIS #1 - TEAM DUTCH VS TEAM ROB</t>
  </si>
  <si>
    <t>Time</t>
  </si>
  <si>
    <t>Players</t>
  </si>
  <si>
    <t>DUTCH WIN</t>
  </si>
  <si>
    <t>ROB WIN</t>
  </si>
  <si>
    <t>PUSH</t>
  </si>
  <si>
    <t>Dutch/Sina vs Troy/Dave</t>
  </si>
  <si>
    <t>X</t>
  </si>
  <si>
    <t>Rocky/Kelly vs Rob/Riley</t>
  </si>
  <si>
    <t>Terby vs Mikey</t>
  </si>
  <si>
    <t>RYDER CUP SEMIS #1 - TEAM ADAM VS TEAM MITCH</t>
  </si>
  <si>
    <t>ADAM WIN</t>
  </si>
  <si>
    <t>MITCH WIN</t>
  </si>
  <si>
    <t>Beeler/Beeler vs Miller/Quis</t>
  </si>
  <si>
    <t>Adam/Matt B vs Mitch/Andy</t>
  </si>
  <si>
    <t>Eric vs Joe</t>
  </si>
  <si>
    <t>RYDER CUP SEMIS #2 - TEAM DUTCH VS TEAM ROB</t>
  </si>
  <si>
    <t>Dutch/ O'Brien v Boss/tangalakis</t>
  </si>
  <si>
    <t>Wiltsey/terbush v line/O'Neil</t>
  </si>
  <si>
    <t>Sinacola v d Boucher</t>
  </si>
  <si>
    <t>RYDER CUP SEMIS #2 - TEAM ADAM VS TEAM MITCH</t>
  </si>
  <si>
    <t xml:space="preserve">A Beeler v Marcus </t>
  </si>
  <si>
    <t>Powell/swiatek v Howell/stetor</t>
  </si>
  <si>
    <t>M Boucher/Kyle Beeler v Miller/Savela</t>
  </si>
  <si>
    <t>RYDER CUP FINALS - TEAM TBD VS TEAM TBD</t>
  </si>
  <si>
    <t>TBD WIN</t>
  </si>
  <si>
    <t>Swiatek/K Beeler v O'Brien/terbush</t>
  </si>
  <si>
    <t>M Boucher/A Beeler v Wiltsey/sina</t>
  </si>
  <si>
    <t>Powell v Dutch</t>
  </si>
  <si>
    <t>RYDER CUP LOSERS - TEAM TBD VS TEAM TBD</t>
  </si>
  <si>
    <t>Swartz/Savela v Tangalakis/d Boucher</t>
  </si>
  <si>
    <t>Boss/line v Howell/miller</t>
  </si>
  <si>
    <t>O'Neil v Stetor</t>
  </si>
  <si>
    <t>Points</t>
  </si>
  <si>
    <t>Win</t>
  </si>
  <si>
    <t>Loss</t>
  </si>
  <si>
    <t>Push</t>
  </si>
  <si>
    <t>Match 1</t>
  </si>
  <si>
    <t xml:space="preserve">Blue </t>
  </si>
  <si>
    <t>Black</t>
  </si>
  <si>
    <t>v</t>
  </si>
  <si>
    <t>Match 2</t>
  </si>
  <si>
    <t>Red</t>
  </si>
  <si>
    <t>White</t>
  </si>
  <si>
    <t>Match 3</t>
  </si>
  <si>
    <t>Match 4</t>
  </si>
  <si>
    <t>Blue</t>
  </si>
  <si>
    <t>SCORING</t>
  </si>
  <si>
    <t>Team</t>
  </si>
  <si>
    <t>FLIGHT 1</t>
  </si>
  <si>
    <t>Player</t>
  </si>
  <si>
    <t>M1</t>
  </si>
  <si>
    <t>M2</t>
  </si>
  <si>
    <t>M3</t>
  </si>
  <si>
    <t>Total Points</t>
  </si>
  <si>
    <t>Flight Finish</t>
  </si>
  <si>
    <t>Ryder Cup Points</t>
  </si>
  <si>
    <t>FLIGHT 2</t>
  </si>
  <si>
    <t>FLIGHT 3</t>
  </si>
  <si>
    <t>FLIGHT 4</t>
  </si>
  <si>
    <t>FLIGHT 5</t>
  </si>
  <si>
    <t>FLIGHT 6</t>
  </si>
  <si>
    <t>SATURDAY BEST BALL</t>
  </si>
  <si>
    <t>Place</t>
  </si>
  <si>
    <t>Team 1 (Riley (R), Troy (R))</t>
  </si>
  <si>
    <t>Team 10 (Mitch (A), Paul (A))</t>
  </si>
  <si>
    <t>Team 11 (Andy (A), Neil (A))</t>
  </si>
  <si>
    <t>Team 12 (Kelly (B), Mikey (B))</t>
  </si>
  <si>
    <t>Team 2 (Marcus (W), Rob (W))</t>
  </si>
  <si>
    <t>Team 3 (Powell (R), Ryan (R))</t>
  </si>
  <si>
    <t>Team 4 (Adam (W), Chad (W))</t>
  </si>
  <si>
    <t>Team 5 (Andrew (A), Rocky (A))</t>
  </si>
  <si>
    <t>Team 6 (Joe (B), Miller (B))</t>
  </si>
  <si>
    <t>Team 7 (Dave (W), Dutch (W))</t>
  </si>
  <si>
    <t>Team 8 (Matt (B), Will (B))</t>
  </si>
  <si>
    <t>Team 9 (Beeler (R), Tyler (R))</t>
  </si>
  <si>
    <t>SUNDAY SCRAMBLE</t>
  </si>
  <si>
    <t>Adam/ Chad/ Marcus/Dave (W)</t>
  </si>
  <si>
    <t>Andy/ Paul/ Andrew/Neil (A)</t>
  </si>
  <si>
    <t>Joe/ Kelly/ Mikey/Matt (B)</t>
  </si>
  <si>
    <t>Mitch/Rocky (A)</t>
  </si>
  <si>
    <t>Rob/Dutch (W)</t>
  </si>
  <si>
    <t>Troy/Ryan (R)</t>
  </si>
  <si>
    <t>Tyler/ Riley/ Powell/ Beeler (R)</t>
  </si>
  <si>
    <t>Will/Miller (B)</t>
  </si>
  <si>
    <t>TEAMS</t>
  </si>
  <si>
    <t>H</t>
  </si>
  <si>
    <t>Best Ball - Friday/Saturday</t>
  </si>
  <si>
    <t>Order</t>
  </si>
  <si>
    <t>W1</t>
  </si>
  <si>
    <t>Rob (W)</t>
  </si>
  <si>
    <t>Mitch - Black</t>
  </si>
  <si>
    <t>Rob</t>
  </si>
  <si>
    <t>Mitch</t>
  </si>
  <si>
    <t>Troy</t>
  </si>
  <si>
    <t>Will</t>
  </si>
  <si>
    <t>W2</t>
  </si>
  <si>
    <t>Dutch (W)</t>
  </si>
  <si>
    <t>Rob - White</t>
  </si>
  <si>
    <t>W3</t>
  </si>
  <si>
    <t>Tyler (W)</t>
  </si>
  <si>
    <t>Troy - Red</t>
  </si>
  <si>
    <t>W4</t>
  </si>
  <si>
    <t>Will (W)</t>
  </si>
  <si>
    <t>Will - Blue</t>
  </si>
  <si>
    <t>W5</t>
  </si>
  <si>
    <t>Steve (W)</t>
  </si>
  <si>
    <t>W6</t>
  </si>
  <si>
    <t>Kyle (W)</t>
  </si>
  <si>
    <t>B1</t>
  </si>
  <si>
    <t>Mitch (A)</t>
  </si>
  <si>
    <t>Results</t>
  </si>
  <si>
    <t>B2</t>
  </si>
  <si>
    <t>Miller (A)</t>
  </si>
  <si>
    <t>Dutch</t>
  </si>
  <si>
    <t>B3</t>
  </si>
  <si>
    <t>Ryan (A)</t>
  </si>
  <si>
    <t>Match Play - Friday/Saturday</t>
  </si>
  <si>
    <t>Ryan</t>
  </si>
  <si>
    <t>B4</t>
  </si>
  <si>
    <t>Adam (A)</t>
  </si>
  <si>
    <t>Match Play 1 (Friday Morning)</t>
  </si>
  <si>
    <t>Match Play 2 (Saturday Morning)</t>
  </si>
  <si>
    <t>Match Play 3 (Saturday Evening)</t>
  </si>
  <si>
    <t>Joe</t>
  </si>
  <si>
    <t>B5</t>
  </si>
  <si>
    <t>Charlie (A)</t>
  </si>
  <si>
    <t>Rocky</t>
  </si>
  <si>
    <t>B6</t>
  </si>
  <si>
    <t>Paul (A)</t>
  </si>
  <si>
    <t>Paul</t>
  </si>
  <si>
    <t>Kelly</t>
  </si>
  <si>
    <t>H1</t>
  </si>
  <si>
    <t>Troy (B)</t>
  </si>
  <si>
    <t>Powell</t>
  </si>
  <si>
    <t>H2</t>
  </si>
  <si>
    <t>Rocky (B)</t>
  </si>
  <si>
    <t>Adam</t>
  </si>
  <si>
    <t>H3</t>
  </si>
  <si>
    <t>Matt B (B)</t>
  </si>
  <si>
    <t>Marcus</t>
  </si>
  <si>
    <t>H4</t>
  </si>
  <si>
    <t>Kelly (B)</t>
  </si>
  <si>
    <t>Dave</t>
  </si>
  <si>
    <t>H5</t>
  </si>
  <si>
    <t>Mikey (B)</t>
  </si>
  <si>
    <t>Matt</t>
  </si>
  <si>
    <t>H6</t>
  </si>
  <si>
    <t>Dave (B)</t>
  </si>
  <si>
    <t>Andy</t>
  </si>
  <si>
    <t>Sinacola</t>
  </si>
  <si>
    <t>O1</t>
  </si>
  <si>
    <t>Eric (R)</t>
  </si>
  <si>
    <t>Miller</t>
  </si>
  <si>
    <t>O2</t>
  </si>
  <si>
    <t>Andy (R)</t>
  </si>
  <si>
    <t>Riley</t>
  </si>
  <si>
    <t>O3</t>
  </si>
  <si>
    <t>Joe (R)</t>
  </si>
  <si>
    <t>Beeler</t>
  </si>
  <si>
    <t>O4</t>
  </si>
  <si>
    <t>JP (R)</t>
  </si>
  <si>
    <t>Chad</t>
  </si>
  <si>
    <t>O5</t>
  </si>
  <si>
    <t>Marcus (R)</t>
  </si>
  <si>
    <t>Mikey</t>
  </si>
  <si>
    <t>O6</t>
  </si>
  <si>
    <t>Riley (R)</t>
  </si>
  <si>
    <t>Neil</t>
  </si>
  <si>
    <t>3 man Scramble (Friday Evening)</t>
  </si>
  <si>
    <t>WHITE</t>
  </si>
  <si>
    <t>BLACK</t>
  </si>
  <si>
    <t>BLUE</t>
  </si>
  <si>
    <t>RED</t>
  </si>
  <si>
    <t>18 Hole Match</t>
  </si>
  <si>
    <t>9 Hole Match</t>
  </si>
  <si>
    <t>Amount left</t>
  </si>
  <si>
    <t>Base Budget</t>
  </si>
  <si>
    <t>multiplier</t>
  </si>
  <si>
    <t>Eric</t>
  </si>
  <si>
    <t>Dbo</t>
  </si>
  <si>
    <t>Matt B</t>
  </si>
  <si>
    <t>Charlie</t>
  </si>
  <si>
    <t>Mike T</t>
  </si>
  <si>
    <t>Steve</t>
  </si>
  <si>
    <t>JP</t>
  </si>
  <si>
    <t>Base = $20</t>
  </si>
  <si>
    <t>Multiplier = 2x</t>
  </si>
  <si>
    <t>Handicap</t>
  </si>
  <si>
    <t>Budget</t>
  </si>
  <si>
    <t>Adjusted Budget</t>
  </si>
  <si>
    <t>Kyle</t>
  </si>
  <si>
    <t>Match Play - Friday</t>
  </si>
  <si>
    <t>First 9</t>
  </si>
  <si>
    <t>Second 9</t>
  </si>
  <si>
    <t>Third 9</t>
  </si>
  <si>
    <t>Adam (W)</t>
  </si>
  <si>
    <t>Chad (W)</t>
  </si>
  <si>
    <t>Marcus (W)</t>
  </si>
  <si>
    <t>Dave (W)</t>
  </si>
  <si>
    <t>Rocky (A)</t>
  </si>
  <si>
    <t>Andy (A)</t>
  </si>
  <si>
    <t>Andrew (A)</t>
  </si>
  <si>
    <t>Neil (A)</t>
  </si>
  <si>
    <t>BU1</t>
  </si>
  <si>
    <t>Will (B)</t>
  </si>
  <si>
    <t>BU2</t>
  </si>
  <si>
    <t>Miller (B)</t>
  </si>
  <si>
    <t>BU3</t>
  </si>
  <si>
    <t>Joe (B)</t>
  </si>
  <si>
    <t>BU4</t>
  </si>
  <si>
    <t>BU5</t>
  </si>
  <si>
    <t>BU6</t>
  </si>
  <si>
    <t>Matt (B)</t>
  </si>
  <si>
    <t>Ryder Cup Scramble - Sunday</t>
  </si>
  <si>
    <t>R1</t>
  </si>
  <si>
    <t>Troy (R)</t>
  </si>
  <si>
    <t>R2</t>
  </si>
  <si>
    <t>Ryan (R)</t>
  </si>
  <si>
    <t>R3</t>
  </si>
  <si>
    <t>Tyler (R)</t>
  </si>
  <si>
    <t>R4</t>
  </si>
  <si>
    <t>R5</t>
  </si>
  <si>
    <t>Powell (R)</t>
  </si>
  <si>
    <t>R6</t>
  </si>
  <si>
    <t>Beeler (R)</t>
  </si>
  <si>
    <t>MATCH PLAY - Friday</t>
  </si>
  <si>
    <t>Tulleymore</t>
  </si>
  <si>
    <t>First 18</t>
  </si>
  <si>
    <t>Tyler</t>
  </si>
  <si>
    <t>Flight 3</t>
  </si>
  <si>
    <t>Flight 6</t>
  </si>
  <si>
    <t>Flight 4</t>
  </si>
  <si>
    <t>Flight 2</t>
  </si>
  <si>
    <t>Andrew</t>
  </si>
  <si>
    <t>Flight 5</t>
  </si>
  <si>
    <t>Flight 1</t>
  </si>
  <si>
    <t>St Ives</t>
  </si>
  <si>
    <t>BEST BALL - Saturday</t>
  </si>
  <si>
    <t>Hawk Hollow</t>
  </si>
  <si>
    <t>SCRAMBLE - Sunday</t>
  </si>
  <si>
    <t>THURSDAY:</t>
  </si>
  <si>
    <t>Location</t>
  </si>
  <si>
    <t>Address:</t>
  </si>
  <si>
    <t>Boyne Highlands Main Lodge (Check-in)</t>
  </si>
  <si>
    <t>600 Highlands Dr, Harbor Springs, MI 49740</t>
  </si>
  <si>
    <t>11:00am - Welcome and lunch at Crooked Tree Grille</t>
  </si>
  <si>
    <t>Bay Harbor Golf Course</t>
  </si>
  <si>
    <t>5800 Coastal Ridge Dr, Bay Harbor, MI 49770</t>
  </si>
  <si>
    <t>Pierson's Grille &amp; Spirits</t>
  </si>
  <si>
    <t>130 State St, Harbor Springs, MI 49740</t>
  </si>
  <si>
    <t>12:30pm - Day 1: Best Ball - Crooked Tree</t>
  </si>
  <si>
    <t>Seminole Pub (Lunch Saturday)</t>
  </si>
  <si>
    <t>600 Highlands Drive, Harbor Springs, MI 49740</t>
  </si>
  <si>
    <t>6:00pm - Leave Crooked Tree for Dinner downtown Harbor Springs</t>
  </si>
  <si>
    <t>6:30pm - Reservation at Pierson's Grille &amp; Spirits</t>
  </si>
  <si>
    <t>7:30pm - Flight Announcements</t>
  </si>
  <si>
    <t>FRIDAY:</t>
  </si>
  <si>
    <t>6:00am - Breakfast Opens at Main Dining Room</t>
  </si>
  <si>
    <t>7:45am - Sandbagger Picture on 1st Tee</t>
  </si>
  <si>
    <t>8:00am - Day 2 Flights: Bay Harbor - Links/Quarry</t>
  </si>
  <si>
    <t>1:00pm - Lunch at The Quarry Corner (Food Truck Onsite)</t>
  </si>
  <si>
    <t>1:50pm - Day 2 Flights: Bay Harbor - Quarry/Preserve</t>
  </si>
  <si>
    <t>6:30pm - Cocktails on Patio</t>
  </si>
  <si>
    <t>7:00pm - Dinner reservation at The Links Grille</t>
  </si>
  <si>
    <t>8:00pm - Auction Scramble Draft</t>
  </si>
  <si>
    <t>SATURDAY:</t>
  </si>
  <si>
    <t>6:30am - Day 3: Knockout - The Moor</t>
  </si>
  <si>
    <t>11:30pm - Lunch at The Seminole Pub (In Between Moor and Donald Ross)</t>
  </si>
  <si>
    <t>12:40pm - Donald Ross Memorial (Annual Sandbagger Scramble)</t>
  </si>
  <si>
    <t>5:40pm - Last 9: Donald Ross Memorial (Annual Sandbagger Scramble)</t>
  </si>
  <si>
    <t>8:00pm - Pizzas delivered to Condos</t>
  </si>
  <si>
    <t>SUNDAY:</t>
  </si>
  <si>
    <t>8:00am - Checkout, Goodbyes, and take off</t>
  </si>
  <si>
    <t>Date</t>
  </si>
  <si>
    <t>Course</t>
  </si>
  <si>
    <t>Event</t>
  </si>
  <si>
    <t>Thursday (8/7)</t>
  </si>
  <si>
    <t>Crooked Tree</t>
  </si>
  <si>
    <t>Invididual Match Play (Best Ball)</t>
  </si>
  <si>
    <t>Friday (8/8)</t>
  </si>
  <si>
    <t>BH: Links/Quarry</t>
  </si>
  <si>
    <t>Flights: First 18</t>
  </si>
  <si>
    <t>BH: Quarry/Preserve</t>
  </si>
  <si>
    <t>Flights: Second 18</t>
  </si>
  <si>
    <t>Saturday (8/9)</t>
  </si>
  <si>
    <t>The Moor</t>
  </si>
  <si>
    <t>Match Play Bracket (Best Ball)</t>
  </si>
  <si>
    <t>Donald Ross Memorial</t>
  </si>
  <si>
    <t>Annual Sandbagger Scramble</t>
  </si>
  <si>
    <t>Final 9 - Annual Sandbagger Scramble</t>
  </si>
  <si>
    <t>ROOM LISTING</t>
  </si>
  <si>
    <t>Gambling Paid? (Rocky $100)</t>
  </si>
  <si>
    <t>Dinner at Bay Harbor (Venmo Brett $TBD)</t>
  </si>
  <si>
    <t>Pizza Saturday Night (Venmo Miller $20)</t>
  </si>
  <si>
    <t>Condo 1</t>
  </si>
  <si>
    <t>Brett Dutcher</t>
  </si>
  <si>
    <t>James Dutcher</t>
  </si>
  <si>
    <t>Mitch Howell</t>
  </si>
  <si>
    <t>Andy Savela</t>
  </si>
  <si>
    <t>Condo 2</t>
  </si>
  <si>
    <t>Kelly O'Brien</t>
  </si>
  <si>
    <t>Mikey Tangalakis</t>
  </si>
  <si>
    <t>Matt Miller</t>
  </si>
  <si>
    <t>Kyle Beeler</t>
  </si>
  <si>
    <t>Condo 3</t>
  </si>
  <si>
    <t>Rocky Wiltsey</t>
  </si>
  <si>
    <t>Riley O'Neal</t>
  </si>
  <si>
    <t>Adam Powell</t>
  </si>
  <si>
    <t>John Sinacola</t>
  </si>
  <si>
    <t>Condo 4</t>
  </si>
  <si>
    <t>Troy Line</t>
  </si>
  <si>
    <t>Eric Swiatek</t>
  </si>
  <si>
    <t>Matt Boucher</t>
  </si>
  <si>
    <t>Dave Boucher</t>
  </si>
  <si>
    <t>Condo 5</t>
  </si>
  <si>
    <t>Ryan Terbush</t>
  </si>
  <si>
    <t>Rob Boss</t>
  </si>
  <si>
    <t>Jeff Boss</t>
  </si>
  <si>
    <t>Marcus Swartz</t>
  </si>
  <si>
    <t>TEE SHEET</t>
  </si>
  <si>
    <t>Thursday - Best Ball</t>
  </si>
  <si>
    <t>Jeff</t>
  </si>
  <si>
    <t>Brett</t>
  </si>
  <si>
    <t>James</t>
  </si>
  <si>
    <t>Sina</t>
  </si>
  <si>
    <t>Friday - Flights</t>
  </si>
  <si>
    <t xml:space="preserve">Dutch </t>
  </si>
  <si>
    <t>Second 18</t>
  </si>
  <si>
    <t>Saturday - Best Ball</t>
  </si>
  <si>
    <t>Bottom 4 (super losers)</t>
  </si>
  <si>
    <t>Losers 1</t>
  </si>
  <si>
    <t>Losers 2</t>
  </si>
  <si>
    <t xml:space="preserve">Mitch </t>
  </si>
  <si>
    <t xml:space="preserve">Troy </t>
  </si>
  <si>
    <t xml:space="preserve">James </t>
  </si>
  <si>
    <t>Winners 1</t>
  </si>
  <si>
    <t>Winners 2</t>
  </si>
  <si>
    <t>Saturday Scramble - first 18</t>
  </si>
  <si>
    <t>Saturday Scramble - last 9</t>
  </si>
  <si>
    <t>80%</t>
  </si>
  <si>
    <t>100%</t>
  </si>
  <si>
    <t>9 holes</t>
  </si>
  <si>
    <t>BEST BALL</t>
  </si>
  <si>
    <t>Won?</t>
  </si>
  <si>
    <t>Score</t>
  </si>
  <si>
    <t>vs</t>
  </si>
  <si>
    <t>FLIGHTS</t>
  </si>
  <si>
    <t>Winners</t>
  </si>
  <si>
    <t>Adam Jeff</t>
  </si>
  <si>
    <t xml:space="preserve">Rob Dutch </t>
  </si>
  <si>
    <t>Mitch Troy</t>
  </si>
  <si>
    <t>CHAMPS</t>
  </si>
  <si>
    <t>Matt James</t>
  </si>
  <si>
    <t>Losers</t>
  </si>
  <si>
    <t>Super Losers</t>
  </si>
  <si>
    <t>Rocky Kelly</t>
  </si>
  <si>
    <t xml:space="preserve">Mikey and Riley </t>
  </si>
  <si>
    <t>Miller sina</t>
  </si>
  <si>
    <t>Marcus Kyle</t>
  </si>
  <si>
    <t>SUPER LOSERS</t>
  </si>
  <si>
    <t>Eric Andy</t>
  </si>
  <si>
    <t>Ryan Dave</t>
  </si>
  <si>
    <t>https://docs.google.com/spreadsheets/d/1CGxGbgkn63bh_e7nrD--YBO4YYbq8ggHHiq7Vi-hmI0/edit?usp=drivesdk</t>
  </si>
  <si>
    <t>MARK WITH AN "X" IF ATTENDING EACH</t>
  </si>
  <si>
    <t>Jason</t>
  </si>
  <si>
    <t>Zab</t>
  </si>
  <si>
    <t>Ganci</t>
  </si>
  <si>
    <t>Sub</t>
  </si>
  <si>
    <t>WEDNESDAY (OPTIONAL)</t>
  </si>
  <si>
    <t>2-5:00pm - Boat Day on Lake Monroe</t>
  </si>
  <si>
    <t>7:00pm - Dinner and Drinks at Nick's</t>
  </si>
  <si>
    <t>THURSDAY (OPTIONAL)</t>
  </si>
  <si>
    <t>8:30am - Golf at the Valley Course</t>
  </si>
  <si>
    <t>3:30pm - Go Kart Racing</t>
  </si>
  <si>
    <t>Maaaaybe…working on logistics</t>
  </si>
  <si>
    <t>7:00pm - Dinner at Moo Moos Steakhouse</t>
  </si>
  <si>
    <t>Do you have a Sandbagger X polo (that fits)?</t>
  </si>
  <si>
    <t>Yes</t>
  </si>
  <si>
    <t>No</t>
  </si>
  <si>
    <t>Yes, +2</t>
  </si>
  <si>
    <t xml:space="preserve">Yes </t>
  </si>
  <si>
    <t xml:space="preserve">No </t>
  </si>
  <si>
    <t>L</t>
  </si>
  <si>
    <t>M</t>
  </si>
  <si>
    <t>XL</t>
  </si>
  <si>
    <t>S</t>
  </si>
  <si>
    <t>2XL</t>
  </si>
  <si>
    <t>Whilte</t>
  </si>
  <si>
    <t>Name</t>
  </si>
  <si>
    <t>Item(s)</t>
  </si>
  <si>
    <t>Paper Towel, Plastic Silverware, Paper Plates, Lysol, Hand Sanitizer, Garbage Bags / Poker Chips / Cornhole Bags / Frisbee</t>
  </si>
  <si>
    <r>
      <rPr>
        <rFont val="Arial"/>
        <color theme="1"/>
      </rPr>
      <t>4 Folding Chairs, Beersbie (</t>
    </r>
    <r>
      <rPr>
        <rFont val="Arial"/>
        <b/>
        <color theme="1"/>
      </rPr>
      <t>Need Frisbie</t>
    </r>
    <r>
      <rPr>
        <rFont val="Arial"/>
        <color theme="1"/>
      </rPr>
      <t>)</t>
    </r>
  </si>
  <si>
    <t>Tailgate Tent</t>
  </si>
  <si>
    <t>Kan Jam &amp; Washers</t>
  </si>
  <si>
    <t>Cornhole Boards</t>
  </si>
  <si>
    <t>Shine, Poker Chips, Poker Table, Fold Up Table, Golf Net &amp; Mat (Rob's), Tent (Boucher's), Folding Chair</t>
  </si>
  <si>
    <t>Portable Fire Pit</t>
  </si>
  <si>
    <t>Cornhole boards and bags</t>
  </si>
  <si>
    <t>Friday</t>
  </si>
  <si>
    <t>Saturday</t>
  </si>
  <si>
    <t>Sunday</t>
  </si>
  <si>
    <t>Total</t>
  </si>
  <si>
    <t>Finish</t>
  </si>
  <si>
    <t>Match Play Points</t>
  </si>
  <si>
    <t>W</t>
  </si>
  <si>
    <t>Halved</t>
  </si>
  <si>
    <t>Scramble Net Points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</si>
  <si>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</si>
  <si>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</si>
  <si>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</si>
  <si>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</si>
  <si>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</si>
  <si>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</si>
  <si>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</si>
  <si>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</si>
  <si>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Number of teams</t>
  </si>
  <si>
    <t>Best Ball Net Points</t>
  </si>
  <si>
    <t>Nineth</t>
  </si>
  <si>
    <t>Tenth</t>
  </si>
  <si>
    <t>Eleventh</t>
  </si>
  <si>
    <t>Twelvth</t>
  </si>
  <si>
    <t>Costs</t>
  </si>
  <si>
    <t>Entry Fee</t>
  </si>
  <si>
    <t>Friday Match Play</t>
  </si>
  <si>
    <t>24 guys  playing all rounds</t>
  </si>
  <si>
    <t>ctp</t>
  </si>
  <si>
    <t>ld</t>
  </si>
  <si>
    <t xml:space="preserve">Rob </t>
  </si>
  <si>
    <t>Scrolf Fee</t>
  </si>
  <si>
    <t>Proshop Tips</t>
  </si>
  <si>
    <t>Fees per person</t>
  </si>
  <si>
    <t>Saturday - Scramble</t>
  </si>
  <si>
    <t>Payouts</t>
  </si>
  <si>
    <t>scramble win</t>
  </si>
  <si>
    <t>$150 per person for Ryder Cup</t>
  </si>
  <si>
    <t>Remainnig for Scramble, CTD, LD</t>
  </si>
  <si>
    <t>Sunday - Scramble</t>
  </si>
  <si>
    <t>LD/CTP Payout</t>
  </si>
  <si>
    <t>Ryder Cup Payout (per person)</t>
  </si>
  <si>
    <t>Scramble pay out (per person)</t>
  </si>
  <si>
    <t>Check</t>
  </si>
  <si>
    <t>Plug to Tips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</si>
</sst>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 am/pm"/>
    <numFmt numFmtId="165" formatCode="m/d/yy"/>
    <numFmt numFmtId="166" formatCode="&quot;$&quot;#,##0"/>
    <numFmt numFmtId="167" formatCode="_(&quot;$&quot;* #,##0_);_(&quot;$&quot;* \(#,##0\);_(&quot;$&quot;* &quot;-&quot;??_);_(@_)"/>
  </numFmts>
  <fonts count="56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i/>
      <color theme="1"/>
      <name val="Arial"/>
      <scheme val="minor"/>
    </font>
    <font>
      <b/>
      <i/>
      <color rgb="FFFFFFFF"/>
      <name val="Arial"/>
      <scheme val="minor"/>
    </font>
    <font>
      <color rgb="FFFFFFFF"/>
      <name val="Arial"/>
      <scheme val="minor"/>
    </font>
    <font>
      <i/>
      <sz val="11.0"/>
      <color theme="1"/>
      <name val="Calibri"/>
    </font>
    <font>
      <sz val="11.0"/>
      <color rgb="FFFFFFFF"/>
      <name val="Calibri"/>
    </font>
    <font>
      <sz val="11.0"/>
      <color theme="1"/>
      <name val="Calibri"/>
    </font>
    <font>
      <sz val="11.0"/>
      <color rgb="FF999999"/>
      <name val="Calibri"/>
    </font>
    <font>
      <sz val="11.0"/>
      <color rgb="FF000000"/>
      <name val="Calibri"/>
    </font>
    <font>
      <sz val="11.0"/>
      <color rgb="FF000000"/>
      <name val="Arial"/>
      <scheme val="minor"/>
    </font>
    <font>
      <sz val="11.0"/>
      <color rgb="FF000000"/>
      <name val="Inconsolata"/>
    </font>
    <font>
      <sz val="11.0"/>
      <color rgb="FF999999"/>
      <name val="Arial"/>
      <scheme val="minor"/>
    </font>
    <font>
      <color rgb="FF000000"/>
      <name val="Roboto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b/>
      <i/>
      <sz val="11.0"/>
      <color theme="1"/>
      <name val="Arial"/>
      <scheme val="minor"/>
    </font>
    <font>
      <b/>
      <i/>
      <sz val="11.0"/>
      <color rgb="FFFF0000"/>
      <name val="Arial"/>
      <scheme val="minor"/>
    </font>
    <font>
      <i/>
      <sz val="11.0"/>
      <color theme="1"/>
      <name val="Arial"/>
      <scheme val="minor"/>
    </font>
    <font>
      <b/>
      <i/>
      <sz val="11.0"/>
      <color rgb="FF0000FF"/>
      <name val="Arial"/>
      <scheme val="minor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i/>
      <color theme="1"/>
      <name val="Arial"/>
      <scheme val="minor"/>
    </font>
    <font>
      <b/>
      <color theme="1"/>
      <name val="Arial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color theme="1"/>
      <name val="Roboto"/>
    </font>
    <font>
      <color theme="1"/>
      <name val="Roboto"/>
    </font>
    <font>
      <b/>
      <color rgb="FF000000"/>
      <name val="Calibri"/>
    </font>
    <font>
      <color rgb="FF000000"/>
      <name val="Calibri"/>
    </font>
    <font>
      <color rgb="FF222222"/>
      <name val="Arial"/>
    </font>
    <font>
      <color rgb="FFFF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i/>
      <sz val="11.0"/>
      <color rgb="FF000000"/>
      <name val="&quot;Aptos Narrow&quot;"/>
    </font>
    <font>
      <sz val="11.0"/>
      <color rgb="FF000000"/>
      <name val="Arial"/>
    </font>
    <font>
      <u/>
      <color rgb="FF0000FF"/>
    </font>
    <font>
      <b/>
      <sz val="11.0"/>
      <color rgb="FFFF0000"/>
      <name val="Calibri"/>
    </font>
    <font>
      <b/>
      <u/>
      <sz val="11.0"/>
      <color theme="1"/>
      <name val="Calibri"/>
    </font>
    <font>
      <sz val="12.0"/>
      <color theme="1"/>
      <name val="&quot;Amazon Ember&quot;"/>
    </font>
    <font>
      <u/>
      <sz val="11.0"/>
      <color rgb="FF000000"/>
      <name val="Calibri"/>
    </font>
    <font>
      <b/>
      <i/>
      <sz val="11.0"/>
      <color theme="1"/>
      <name val="Calibri"/>
    </font>
    <font>
      <b/>
      <u/>
      <sz val="11.0"/>
      <color rgb="FF000000"/>
      <name val="Calibri"/>
    </font>
    <font>
      <sz val="11.0"/>
      <color rgb="FFFF0000"/>
      <name val="Calibri"/>
    </font>
    <font>
      <u/>
      <sz val="11.0"/>
      <color rgb="FF000000"/>
      <name val="Calibri"/>
    </font>
    <font>
      <b/>
      <sz val="11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38761D"/>
        <bgColor rgb="FF38761D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</fills>
  <borders count="20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/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2" fontId="3" numFmtId="0" xfId="0" applyAlignment="1" applyBorder="1" applyFill="1" applyFont="1">
      <alignment readingOrder="0"/>
    </xf>
    <xf borderId="3" fillId="3" fontId="4" numFmtId="0" xfId="0" applyAlignment="1" applyBorder="1" applyFill="1" applyFont="1">
      <alignment horizontal="center" vertical="bottom"/>
    </xf>
    <xf borderId="3" fillId="4" fontId="3" numFmtId="0" xfId="0" applyAlignment="1" applyBorder="1" applyFill="1" applyFont="1">
      <alignment readingOrder="0"/>
    </xf>
    <xf borderId="2" fillId="3" fontId="4" numFmtId="0" xfId="0" applyAlignment="1" applyBorder="1" applyFont="1">
      <alignment horizontal="center" vertical="bottom"/>
    </xf>
    <xf borderId="3" fillId="5" fontId="3" numFmtId="0" xfId="0" applyAlignment="1" applyBorder="1" applyFill="1" applyFont="1">
      <alignment readingOrder="0"/>
    </xf>
    <xf borderId="3" fillId="6" fontId="3" numFmtId="0" xfId="0" applyAlignment="1" applyBorder="1" applyFill="1" applyFont="1">
      <alignment readingOrder="0"/>
    </xf>
    <xf borderId="2" fillId="0" fontId="4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3" fillId="0" fontId="1" numFmtId="0" xfId="0" applyAlignment="1" applyBorder="1" applyFont="1">
      <alignment horizontal="center"/>
    </xf>
    <xf borderId="7" fillId="0" fontId="2" numFmtId="0" xfId="0" applyBorder="1" applyFont="1"/>
    <xf borderId="0" fillId="0" fontId="1" numFmtId="0" xfId="0" applyAlignment="1" applyFont="1">
      <alignment horizontal="center" readingOrder="0"/>
    </xf>
    <xf borderId="8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9" fillId="2" fontId="7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/>
    </xf>
    <xf borderId="9" fillId="4" fontId="7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1" fillId="0" fontId="5" numFmtId="164" xfId="0" applyAlignment="1" applyBorder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/>
    </xf>
    <xf borderId="0" fillId="4" fontId="8" numFmtId="0" xfId="0" applyAlignment="1" applyFont="1">
      <alignment horizontal="center"/>
    </xf>
    <xf borderId="13" fillId="0" fontId="5" numFmtId="164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/>
    </xf>
    <xf borderId="0" fillId="0" fontId="5" numFmtId="164" xfId="0" applyAlignment="1" applyFont="1" applyNumberFormat="1">
      <alignment readingOrder="0"/>
    </xf>
    <xf borderId="9" fillId="6" fontId="7" numFmtId="0" xfId="0" applyAlignment="1" applyBorder="1" applyFont="1">
      <alignment horizontal="center" readingOrder="0"/>
    </xf>
    <xf borderId="9" fillId="5" fontId="7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6" fontId="8" numFmtId="0" xfId="0" applyAlignment="1" applyFont="1">
      <alignment horizontal="center" readingOrder="0"/>
    </xf>
    <xf borderId="0" fillId="5" fontId="8" numFmtId="0" xfId="0" applyAlignment="1" applyFont="1">
      <alignment horizontal="center"/>
    </xf>
    <xf borderId="1" fillId="6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/>
    </xf>
    <xf borderId="1" fillId="4" fontId="8" numFmtId="0" xfId="0" applyAlignment="1" applyBorder="1" applyFont="1">
      <alignment horizontal="center" readingOrder="0"/>
    </xf>
    <xf borderId="0" fillId="5" fontId="8" numFmtId="0" xfId="0" applyAlignment="1" applyFont="1">
      <alignment horizontal="center" readingOrder="0"/>
    </xf>
    <xf borderId="1" fillId="6" fontId="8" numFmtId="0" xfId="0" applyAlignment="1" applyBorder="1" applyFont="1">
      <alignment horizontal="center"/>
    </xf>
    <xf borderId="11" fillId="0" fontId="5" numFmtId="0" xfId="0" applyAlignment="1" applyBorder="1" applyFont="1">
      <alignment readingOrder="0"/>
    </xf>
    <xf borderId="4" fillId="0" fontId="5" numFmtId="0" xfId="0" applyBorder="1" applyFont="1"/>
    <xf borderId="5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0" fillId="0" fontId="4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7" fontId="10" numFmtId="0" xfId="0" applyAlignment="1" applyFill="1" applyFont="1">
      <alignment vertical="bottom"/>
    </xf>
    <xf borderId="0" fillId="8" fontId="10" numFmtId="0" xfId="0" applyAlignment="1" applyFill="1" applyFont="1">
      <alignment readingOrder="0" vertical="bottom"/>
    </xf>
    <xf borderId="0" fillId="3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9" fontId="11" numFmtId="0" xfId="0" applyAlignment="1" applyFill="1" applyFont="1">
      <alignment horizontal="right" vertical="bottom"/>
    </xf>
    <xf borderId="0" fillId="9" fontId="14" numFmtId="0" xfId="0" applyAlignment="1" applyFont="1">
      <alignment vertical="bottom"/>
    </xf>
    <xf borderId="0" fillId="9" fontId="14" numFmtId="0" xfId="0" applyAlignment="1" applyFont="1">
      <alignment readingOrder="0" vertical="bottom"/>
    </xf>
    <xf borderId="0" fillId="8" fontId="10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3" fontId="15" numFmtId="0" xfId="0" applyFont="1"/>
    <xf borderId="0" fillId="10" fontId="10" numFmtId="0" xfId="0" applyAlignment="1" applyFill="1" applyFont="1">
      <alignment vertical="bottom"/>
    </xf>
    <xf borderId="14" fillId="0" fontId="11" numFmtId="0" xfId="0" applyAlignment="1" applyBorder="1" applyFont="1">
      <alignment horizontal="right" vertical="bottom"/>
    </xf>
    <xf borderId="0" fillId="0" fontId="11" numFmtId="0" xfId="0" applyAlignment="1" applyFont="1">
      <alignment horizontal="right" readingOrder="0" vertical="bottom"/>
    </xf>
    <xf borderId="0" fillId="7" fontId="10" numFmtId="0" xfId="0" applyAlignment="1" applyFont="1">
      <alignment readingOrder="0" vertical="bottom"/>
    </xf>
    <xf borderId="0" fillId="7" fontId="10" numFmtId="0" xfId="0" applyAlignment="1" applyFont="1">
      <alignment readingOrder="0" vertical="bottom"/>
    </xf>
    <xf borderId="0" fillId="3" fontId="16" numFmtId="0" xfId="0" applyAlignment="1" applyFont="1">
      <alignment vertical="bottom"/>
    </xf>
    <xf borderId="0" fillId="2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3" fontId="17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18" numFmtId="0" xfId="0" applyFont="1"/>
    <xf borderId="15" fillId="0" fontId="19" numFmtId="0" xfId="0" applyAlignment="1" applyBorder="1" applyFont="1">
      <alignment horizontal="center"/>
    </xf>
    <xf borderId="15" fillId="0" fontId="2" numFmtId="0" xfId="0" applyBorder="1" applyFont="1"/>
    <xf borderId="15" fillId="0" fontId="19" numFmtId="0" xfId="0" applyAlignment="1" applyBorder="1" applyFont="1">
      <alignment horizontal="center" readingOrder="0"/>
    </xf>
    <xf borderId="0" fillId="0" fontId="20" numFmtId="0" xfId="0" applyFont="1"/>
    <xf borderId="0" fillId="0" fontId="21" numFmtId="0" xfId="0" applyAlignment="1" applyFont="1">
      <alignment horizontal="center"/>
    </xf>
    <xf borderId="0" fillId="0" fontId="19" numFmtId="0" xfId="0" applyAlignment="1" applyFont="1">
      <alignment horizontal="center"/>
    </xf>
    <xf borderId="16" fillId="0" fontId="19" numFmtId="0" xfId="0" applyAlignment="1" applyBorder="1" applyFont="1">
      <alignment horizontal="center" readingOrder="0"/>
    </xf>
    <xf borderId="16" fillId="0" fontId="2" numFmtId="0" xfId="0" applyBorder="1" applyFont="1"/>
    <xf borderId="0" fillId="0" fontId="22" numFmtId="18" xfId="0" applyFont="1" applyNumberFormat="1"/>
    <xf borderId="0" fillId="0" fontId="23" numFmtId="0" xfId="0" applyFont="1"/>
    <xf borderId="0" fillId="0" fontId="24" numFmtId="0" xfId="0" applyFont="1"/>
    <xf borderId="0" fillId="11" fontId="13" numFmtId="0" xfId="0" applyAlignment="1" applyFill="1" applyFont="1">
      <alignment readingOrder="0" vertical="bottom"/>
    </xf>
    <xf borderId="0" fillId="0" fontId="25" numFmtId="0" xfId="0" applyFont="1"/>
    <xf borderId="0" fillId="11" fontId="13" numFmtId="0" xfId="0" applyAlignment="1" applyFont="1">
      <alignment vertical="bottom"/>
    </xf>
    <xf borderId="0" fillId="0" fontId="19" numFmtId="0" xfId="0" applyFont="1"/>
    <xf borderId="0" fillId="12" fontId="11" numFmtId="0" xfId="0" applyAlignment="1" applyFill="1" applyFont="1">
      <alignment readingOrder="0" vertical="bottom"/>
    </xf>
    <xf borderId="0" fillId="0" fontId="26" numFmtId="0" xfId="0" applyAlignment="1" applyFont="1">
      <alignment vertical="bottom"/>
    </xf>
    <xf borderId="0" fillId="0" fontId="27" numFmtId="165" xfId="0" applyAlignment="1" applyFont="1" applyNumberFormat="1">
      <alignment horizontal="right" vertical="bottom"/>
    </xf>
    <xf borderId="3" fillId="0" fontId="4" numFmtId="9" xfId="0" applyAlignment="1" applyBorder="1" applyFont="1" applyNumberFormat="1">
      <alignment horizontal="right" vertical="bottom"/>
    </xf>
    <xf borderId="3" fillId="0" fontId="28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27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9" fontId="4" numFmtId="0" xfId="0" applyAlignment="1" applyFont="1">
      <alignment horizontal="right" vertical="bottom"/>
    </xf>
    <xf borderId="0" fillId="13" fontId="4" numFmtId="0" xfId="0" applyAlignment="1" applyFill="1" applyFont="1">
      <alignment horizontal="right" vertical="bottom"/>
    </xf>
    <xf borderId="0" fillId="14" fontId="27" numFmtId="0" xfId="0" applyAlignment="1" applyFill="1" applyFont="1">
      <alignment horizontal="right" vertical="bottom"/>
    </xf>
    <xf borderId="0" fillId="0" fontId="27" numFmtId="0" xfId="0" applyAlignment="1" applyFont="1">
      <alignment vertical="bottom"/>
    </xf>
    <xf borderId="0" fillId="14" fontId="11" numFmtId="0" xfId="0" applyAlignment="1" applyFont="1">
      <alignment horizontal="right" vertical="bottom"/>
    </xf>
    <xf borderId="0" fillId="0" fontId="27" numFmtId="0" xfId="0" applyAlignment="1" applyFont="1">
      <alignment readingOrder="0" vertical="bottom"/>
    </xf>
    <xf borderId="0" fillId="0" fontId="27" numFmtId="0" xfId="0" applyAlignment="1" applyFont="1">
      <alignment horizontal="right" readingOrder="0" vertical="bottom"/>
    </xf>
    <xf borderId="0" fillId="0" fontId="11" numFmtId="0" xfId="0" applyAlignment="1" applyFont="1">
      <alignment horizontal="right" vertical="bottom"/>
    </xf>
    <xf borderId="0" fillId="9" fontId="5" numFmtId="0" xfId="0" applyAlignment="1" applyFont="1">
      <alignment readingOrder="0"/>
    </xf>
    <xf borderId="0" fillId="9" fontId="1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0" numFmtId="0" xfId="0" applyAlignment="1" applyFont="1">
      <alignment vertical="bottom"/>
    </xf>
    <xf borderId="0" fillId="0" fontId="5" numFmtId="166" xfId="0" applyAlignment="1" applyFont="1" applyNumberFormat="1">
      <alignment readingOrder="0"/>
    </xf>
    <xf borderId="0" fillId="9" fontId="5" numFmtId="166" xfId="0" applyFont="1" applyNumberFormat="1"/>
    <xf borderId="0" fillId="0" fontId="28" numFmtId="0" xfId="0" applyAlignment="1" applyFont="1">
      <alignment vertical="bottom"/>
    </xf>
    <xf borderId="0" fillId="0" fontId="5" numFmtId="166" xfId="0" applyFont="1" applyNumberFormat="1"/>
    <xf borderId="0" fillId="9" fontId="5" numFmtId="166" xfId="0" applyAlignment="1" applyFont="1" applyNumberFormat="1">
      <alignment readingOrder="0"/>
    </xf>
    <xf borderId="0" fillId="0" fontId="28" numFmtId="0" xfId="0" applyAlignment="1" applyFont="1">
      <alignment readingOrder="0" vertical="bottom"/>
    </xf>
    <xf borderId="16" fillId="0" fontId="19" numFmtId="0" xfId="0" applyAlignment="1" applyBorder="1" applyFont="1">
      <alignment horizontal="center"/>
    </xf>
    <xf borderId="0" fillId="3" fontId="12" numFmtId="0" xfId="0" applyAlignment="1" applyFont="1">
      <alignment readingOrder="0" vertical="bottom"/>
    </xf>
    <xf borderId="0" fillId="0" fontId="31" numFmtId="0" xfId="0" applyAlignment="1" applyFont="1">
      <alignment horizontal="center" vertical="bottom"/>
    </xf>
    <xf borderId="0" fillId="0" fontId="11" numFmtId="164" xfId="0" applyAlignment="1" applyFont="1" applyNumberFormat="1">
      <alignment readingOrder="0" vertical="bottom"/>
    </xf>
    <xf borderId="5" fillId="2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0" fillId="0" fontId="32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33" numFmtId="0" xfId="0" applyFont="1"/>
    <xf borderId="0" fillId="0" fontId="34" numFmtId="0" xfId="0" applyAlignment="1" applyFont="1">
      <alignment shrinkToFit="0" wrapText="0"/>
    </xf>
    <xf borderId="0" fillId="0" fontId="35" numFmtId="0" xfId="0" applyFont="1"/>
    <xf borderId="0" fillId="9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7" numFmtId="164" xfId="0" applyAlignment="1" applyFont="1" applyNumberFormat="1">
      <alignment readingOrder="0"/>
    </xf>
    <xf borderId="4" fillId="0" fontId="38" numFmtId="0" xfId="0" applyAlignment="1" applyBorder="1" applyFont="1">
      <alignment horizontal="center" readingOrder="0" vertical="bottom"/>
    </xf>
    <xf borderId="3" fillId="0" fontId="29" numFmtId="0" xfId="0" applyAlignment="1" applyBorder="1" applyFont="1">
      <alignment readingOrder="0"/>
    </xf>
    <xf borderId="8" fillId="0" fontId="38" numFmtId="0" xfId="0" applyAlignment="1" applyBorder="1" applyFont="1">
      <alignment readingOrder="0" vertical="bottom"/>
    </xf>
    <xf borderId="12" fillId="0" fontId="39" numFmtId="0" xfId="0" applyAlignment="1" applyBorder="1" applyFont="1">
      <alignment readingOrder="0" vertical="bottom"/>
    </xf>
    <xf borderId="17" fillId="0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/>
    </xf>
    <xf borderId="11" fillId="0" fontId="38" numFmtId="0" xfId="0" applyAlignment="1" applyBorder="1" applyFont="1">
      <alignment readingOrder="0" vertical="bottom"/>
    </xf>
    <xf borderId="13" fillId="0" fontId="38" numFmtId="0" xfId="0" applyAlignment="1" applyBorder="1" applyFont="1">
      <alignment readingOrder="0" vertical="bottom"/>
    </xf>
    <xf borderId="2" fillId="0" fontId="39" numFmtId="0" xfId="0" applyAlignment="1" applyBorder="1" applyFont="1">
      <alignment readingOrder="0" vertical="bottom"/>
    </xf>
    <xf borderId="10" fillId="0" fontId="39" numFmtId="0" xfId="0" applyAlignment="1" applyBorder="1" applyFont="1">
      <alignment readingOrder="0" vertical="bottom"/>
    </xf>
    <xf borderId="18" fillId="0" fontId="5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/>
    </xf>
    <xf borderId="0" fillId="0" fontId="30" numFmtId="0" xfId="0" applyAlignment="1" applyFont="1">
      <alignment readingOrder="0"/>
    </xf>
    <xf borderId="0" fillId="3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 shrinkToFit="0" vertical="bottom" wrapText="0"/>
    </xf>
    <xf borderId="0" fillId="0" fontId="43" numFmtId="0" xfId="0" applyAlignment="1" applyFont="1">
      <alignment shrinkToFit="0" vertical="bottom" wrapText="0"/>
    </xf>
    <xf borderId="0" fillId="0" fontId="43" numFmtId="20" xfId="0" applyAlignment="1" applyFont="1" applyNumberFormat="1">
      <alignment horizontal="right" readingOrder="0" shrinkToFit="0" vertical="bottom" wrapText="0"/>
    </xf>
    <xf borderId="0" fillId="0" fontId="43" numFmtId="0" xfId="0" applyAlignment="1" applyFont="1">
      <alignment readingOrder="0" shrinkToFit="0" vertical="bottom" wrapText="0"/>
    </xf>
    <xf borderId="0" fillId="0" fontId="44" numFmtId="0" xfId="0" applyAlignment="1" applyFont="1">
      <alignment readingOrder="0" shrinkToFit="0" vertical="bottom" wrapText="0"/>
    </xf>
    <xf borderId="0" fillId="0" fontId="45" numFmtId="20" xfId="0" applyAlignment="1" applyFont="1" applyNumberFormat="1">
      <alignment readingOrder="0"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9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2" numFmtId="0" xfId="0" applyAlignment="1" applyFont="1">
      <alignment shrinkToFit="0" vertical="bottom" wrapText="0"/>
    </xf>
    <xf borderId="8" fillId="0" fontId="43" numFmtId="0" xfId="0" applyAlignment="1" applyBorder="1" applyFont="1">
      <alignment shrinkToFit="0" vertical="bottom" wrapText="0"/>
    </xf>
    <xf borderId="10" fillId="0" fontId="43" numFmtId="0" xfId="0" applyAlignment="1" applyBorder="1" applyFont="1">
      <alignment shrinkToFit="0" vertical="bottom" wrapText="0"/>
    </xf>
    <xf borderId="11" fillId="0" fontId="43" numFmtId="0" xfId="0" applyAlignment="1" applyBorder="1" applyFont="1">
      <alignment shrinkToFit="0" vertical="bottom" wrapText="0"/>
    </xf>
    <xf borderId="12" fillId="0" fontId="43" numFmtId="0" xfId="0" applyAlignment="1" applyBorder="1" applyFont="1">
      <alignment shrinkToFit="0" vertical="bottom" wrapText="0"/>
    </xf>
    <xf borderId="13" fillId="0" fontId="43" numFmtId="0" xfId="0" applyAlignment="1" applyBorder="1" applyFont="1">
      <alignment readingOrder="0" shrinkToFit="0" vertical="bottom" wrapText="0"/>
    </xf>
    <xf borderId="1" fillId="0" fontId="43" numFmtId="0" xfId="0" applyAlignment="1" applyBorder="1" applyFont="1">
      <alignment shrinkToFit="0" vertical="bottom" wrapText="0"/>
    </xf>
    <xf borderId="2" fillId="0" fontId="43" numFmtId="0" xfId="0" applyAlignment="1" applyBorder="1" applyFont="1">
      <alignment shrinkToFit="0" vertical="bottom" wrapText="0"/>
    </xf>
    <xf borderId="11" fillId="0" fontId="43" numFmtId="0" xfId="0" applyAlignment="1" applyBorder="1" applyFont="1">
      <alignment readingOrder="0" shrinkToFit="0" vertical="bottom" wrapText="0"/>
    </xf>
    <xf borderId="1" fillId="0" fontId="43" numFmtId="0" xfId="0" applyAlignment="1" applyBorder="1" applyFont="1">
      <alignment readingOrder="0" shrinkToFit="0" vertical="bottom" wrapText="0"/>
    </xf>
    <xf borderId="0" fillId="0" fontId="46" numFmtId="0" xfId="0" applyAlignment="1" applyFont="1">
      <alignment readingOrder="0"/>
    </xf>
    <xf borderId="0" fillId="0" fontId="47" numFmtId="0" xfId="0" applyFont="1"/>
    <xf borderId="0" fillId="0" fontId="11" numFmtId="0" xfId="0" applyFont="1"/>
    <xf borderId="19" fillId="9" fontId="11" numFmtId="0" xfId="0" applyBorder="1" applyFont="1"/>
    <xf borderId="0" fillId="0" fontId="48" numFmtId="0" xfId="0" applyAlignment="1" applyFont="1">
      <alignment vertical="center"/>
    </xf>
    <xf borderId="0" fillId="0" fontId="49" numFmtId="0" xfId="0" applyAlignment="1" applyFont="1">
      <alignment readingOrder="0"/>
    </xf>
    <xf borderId="0" fillId="0" fontId="11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readingOrder="0"/>
    </xf>
    <xf borderId="3" fillId="0" fontId="6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3" fillId="0" fontId="5" numFmtId="0" xfId="0" applyBorder="1" applyFont="1"/>
    <xf borderId="1" fillId="0" fontId="13" numFmtId="0" xfId="0" applyAlignment="1" applyBorder="1" applyFont="1">
      <alignment horizontal="center"/>
    </xf>
    <xf borderId="1" fillId="0" fontId="2" numFmtId="0" xfId="0" applyBorder="1" applyFont="1"/>
    <xf borderId="0" fillId="0" fontId="13" numFmtId="0" xfId="0" applyAlignment="1" applyFont="1">
      <alignment horizontal="center"/>
    </xf>
    <xf borderId="0" fillId="0" fontId="50" numFmtId="0" xfId="0" applyFont="1"/>
    <xf borderId="0" fillId="0" fontId="5" numFmtId="3" xfId="0" applyFont="1" applyNumberFormat="1"/>
    <xf borderId="0" fillId="0" fontId="51" numFmtId="0" xfId="0" applyAlignment="1" applyFont="1">
      <alignment horizontal="center" vertical="bottom"/>
    </xf>
    <xf borderId="1" fillId="0" fontId="13" numFmtId="0" xfId="0" applyAlignment="1" applyBorder="1" applyFont="1">
      <alignment horizontal="center" readingOrder="0"/>
    </xf>
    <xf borderId="0" fillId="0" fontId="51" numFmtId="0" xfId="0" applyAlignment="1" applyFont="1">
      <alignment horizontal="center" readingOrder="0" vertical="bottom"/>
    </xf>
    <xf borderId="0" fillId="0" fontId="11" numFmtId="0" xfId="0" applyAlignment="1" applyFont="1">
      <alignment horizontal="right" vertical="bottom"/>
    </xf>
    <xf borderId="0" fillId="3" fontId="13" numFmtId="0" xfId="0" applyAlignment="1" applyFont="1">
      <alignment horizontal="left" readingOrder="0"/>
    </xf>
    <xf borderId="0" fillId="0" fontId="13" numFmtId="0" xfId="0" applyFont="1"/>
    <xf borderId="0" fillId="0" fontId="52" numFmtId="0" xfId="0" applyFont="1"/>
    <xf borderId="0" fillId="0" fontId="13" numFmtId="167" xfId="0" applyAlignment="1" applyFont="1" applyNumberFormat="1">
      <alignment readingOrder="0"/>
    </xf>
    <xf borderId="0" fillId="0" fontId="13" numFmtId="167" xfId="0" applyFont="1" applyNumberFormat="1"/>
    <xf borderId="0" fillId="0" fontId="13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54" numFmtId="167" xfId="0" applyFont="1" applyNumberFormat="1"/>
    <xf borderId="0" fillId="0" fontId="13" numFmtId="0" xfId="0" applyAlignment="1" applyFont="1">
      <alignment horizontal="right"/>
    </xf>
    <xf borderId="0" fillId="0" fontId="13" numFmtId="0" xfId="0" applyAlignment="1" applyFont="1">
      <alignment horizontal="left"/>
    </xf>
    <xf borderId="0" fillId="0" fontId="55" numFmtId="0" xfId="0" applyFont="1"/>
    <xf borderId="0" fillId="0" fontId="55" numFmtId="167" xfId="0" applyFont="1" applyNumberFormat="1"/>
    <xf borderId="0" fillId="0" fontId="11" numFmtId="167" xfId="0" applyFont="1" applyNumberFormat="1"/>
  </cellXfs>
  <cellStyles count="1">
    <cellStyle xfId="0" name="Normal" builtinId="0"/>
  </cellStyles>
  <dxfs count="10">
    <dxf>
      <font>
        <b/>
      </font>
      <fill>
        <patternFill patternType="solid">
          <fgColor rgb="FFB7E1CD"/>
          <bgColor rgb="FFB7E1CD"/>
        </patternFill>
      </fill>
      <border/>
    </dxf>
    <dxf>
      <font>
        <color rgb="FF999999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Handicaps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4524375</xdr:colOff>
      <xdr:row>5</xdr:row>
      <xdr:rowOff>190500</xdr:rowOff>
    </xdr:from>
    <xdr:ext cx="12182475" cy="6743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Table1" name="Table1" id="1">
  <tableColumns count="5">
    <tableColumn name="Player" id="1"/>
    <tableColumn name="Handicap" id="2"/>
    <tableColumn name="80%" id="3"/>
    <tableColumn name="100%" id="4"/>
    <tableColumn name="9 holes" id="5"/>
  </tableColumns>
  <tableStyleInfo name="Handica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GxGbgkn63bh_e7nrD--YBO4YYbq8ggHHiq7Vi-hmI0/edit?usp=drivesdk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25"/>
    <col customWidth="1" min="2" max="2" width="9.13"/>
  </cols>
  <sheetData>
    <row r="1">
      <c r="A1" s="1" t="s">
        <v>0</v>
      </c>
      <c r="B1" s="2"/>
    </row>
    <row r="2">
      <c r="A2" s="3" t="s">
        <v>1</v>
      </c>
      <c r="B2" s="4">
        <f>SUM(Matches!D7,Matches!D19, Matches!H7,Matches!H19, )</f>
        <v>10</v>
      </c>
    </row>
    <row r="3">
      <c r="A3" s="5" t="s">
        <v>2</v>
      </c>
      <c r="B3" s="6">
        <f>SUM(Matches!F13,Matches!F25, Matches!H13, Matches!H25, )</f>
        <v>7</v>
      </c>
    </row>
    <row r="4">
      <c r="A4" s="1" t="s">
        <v>3</v>
      </c>
      <c r="B4" s="2"/>
    </row>
    <row r="5">
      <c r="A5" s="7" t="s">
        <v>4</v>
      </c>
      <c r="B5" s="6">
        <f>SUM(Matches!F7,Matches!F19,Matches!H7,Matches!H19, )</f>
        <v>7</v>
      </c>
    </row>
    <row r="6">
      <c r="A6" s="8" t="s">
        <v>5</v>
      </c>
      <c r="B6" s="9">
        <f>SUM(Matches!D13,Matches!D25,Matches!H13,Matches!H25, )</f>
        <v>10</v>
      </c>
    </row>
    <row r="8">
      <c r="A8" s="10" t="s">
        <v>6</v>
      </c>
      <c r="B8" s="11"/>
    </row>
    <row r="9">
      <c r="A9" s="12" t="s">
        <v>7</v>
      </c>
      <c r="B9" s="6">
        <f>SUM(Matches!D31,Matches!H31)</f>
        <v>0</v>
      </c>
    </row>
    <row r="10">
      <c r="A10" s="13" t="s">
        <v>7</v>
      </c>
      <c r="B10" s="6">
        <f>SUM(Matches!F31,Matches!H31)</f>
        <v>0</v>
      </c>
      <c r="C10" s="14"/>
    </row>
    <row r="11">
      <c r="A11" s="1" t="s">
        <v>8</v>
      </c>
      <c r="B11" s="2"/>
    </row>
    <row r="12">
      <c r="A12" s="13" t="s">
        <v>7</v>
      </c>
      <c r="B12" s="9">
        <f>SUM(Matches!D37,Matches!H37)</f>
        <v>0</v>
      </c>
    </row>
    <row r="13">
      <c r="A13" s="13" t="s">
        <v>7</v>
      </c>
      <c r="B13" s="15">
        <f>SUM(Matches!F37,Matches!H37)</f>
        <v>0</v>
      </c>
    </row>
  </sheetData>
  <mergeCells count="4">
    <mergeCell ref="A1:B1"/>
    <mergeCell ref="A4:B4"/>
    <mergeCell ref="A8:B8"/>
    <mergeCell ref="A11:B11"/>
  </mergeCells>
  <conditionalFormatting sqref="H7">
    <cfRule type="expression" dxfId="0" priority="1">
      <formula>I6="wa"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11.63"/>
  </cols>
  <sheetData>
    <row r="1">
      <c r="C1" s="14"/>
      <c r="D1" s="14"/>
      <c r="E1" s="14"/>
      <c r="F1" s="14"/>
      <c r="G1" s="14"/>
      <c r="H1" s="14"/>
    </row>
    <row r="2">
      <c r="A2" s="10" t="s">
        <v>9</v>
      </c>
      <c r="B2" s="16"/>
      <c r="C2" s="16"/>
      <c r="D2" s="16"/>
      <c r="E2" s="16"/>
      <c r="F2" s="16"/>
      <c r="G2" s="16"/>
      <c r="H2" s="11"/>
      <c r="I2" s="17"/>
      <c r="J2" s="17"/>
      <c r="K2" s="17"/>
    </row>
    <row r="3">
      <c r="A3" s="18" t="s">
        <v>10</v>
      </c>
      <c r="B3" s="19" t="s">
        <v>11</v>
      </c>
      <c r="C3" s="20" t="s">
        <v>12</v>
      </c>
      <c r="D3" s="21"/>
      <c r="E3" s="22" t="s">
        <v>13</v>
      </c>
      <c r="F3" s="21"/>
      <c r="G3" s="23" t="s">
        <v>14</v>
      </c>
      <c r="H3" s="23"/>
      <c r="I3" s="24"/>
      <c r="J3" s="24"/>
      <c r="K3" s="24"/>
    </row>
    <row r="4">
      <c r="A4" s="25">
        <v>0.5555555555555556</v>
      </c>
      <c r="B4" s="26" t="s">
        <v>15</v>
      </c>
      <c r="C4" s="27"/>
      <c r="D4" s="14" t="str">
        <f>IF(ISBLANK(C4), "0", WinPoints)</f>
        <v>0</v>
      </c>
      <c r="E4" s="28"/>
      <c r="F4" s="14" t="str">
        <f>IF(ISBLANK(E4), "0", WinPoints)</f>
        <v>0</v>
      </c>
      <c r="G4" s="29" t="s">
        <v>16</v>
      </c>
      <c r="H4" s="30">
        <f>IF(ISBLANK(G4), "0", PushPoints)</f>
        <v>1</v>
      </c>
      <c r="I4" s="14"/>
      <c r="J4" s="14"/>
      <c r="K4" s="14"/>
    </row>
    <row r="5">
      <c r="A5" s="25">
        <v>0.5694444444444444</v>
      </c>
      <c r="B5" s="26" t="s">
        <v>17</v>
      </c>
      <c r="C5" s="27" t="s">
        <v>16</v>
      </c>
      <c r="D5" s="14">
        <f>IF(ISBLANK(C5), "0", WinPoints)</f>
        <v>3</v>
      </c>
      <c r="E5" s="31"/>
      <c r="F5" s="14" t="str">
        <f>IF(ISBLANK(E5), "0", WinPoints)</f>
        <v>0</v>
      </c>
      <c r="G5" s="29"/>
      <c r="H5" s="30" t="str">
        <f>IF(ISBLANK(G5), "0", PushPoints)</f>
        <v>0</v>
      </c>
      <c r="I5" s="14"/>
      <c r="J5" s="14"/>
      <c r="K5" s="14"/>
    </row>
    <row r="6">
      <c r="A6" s="32">
        <v>0.5763888888888888</v>
      </c>
      <c r="B6" s="33" t="s">
        <v>18</v>
      </c>
      <c r="C6" s="34" t="s">
        <v>16</v>
      </c>
      <c r="D6" s="14">
        <f>IF(ISBLANK(C6), "0", WinPoints)</f>
        <v>3</v>
      </c>
      <c r="E6" s="35"/>
      <c r="F6" s="36" t="str">
        <f>IF(ISBLANK(E6), "0", WinPoints)</f>
        <v>0</v>
      </c>
      <c r="G6" s="37"/>
      <c r="H6" s="38" t="str">
        <f>IF(ISBLANK(G6), "0", PushPoints)</f>
        <v>0</v>
      </c>
      <c r="I6" s="14"/>
      <c r="J6" s="14"/>
      <c r="K6" s="14"/>
    </row>
    <row r="7">
      <c r="A7" s="39"/>
      <c r="C7" s="14"/>
      <c r="D7" s="14">
        <f>SUM(D4:D6)</f>
        <v>6</v>
      </c>
      <c r="E7" s="14"/>
      <c r="F7" s="14">
        <f>SUM(F4:F6)</f>
        <v>0</v>
      </c>
      <c r="G7" s="14"/>
      <c r="H7" s="14">
        <f>SUM(H4:H6)</f>
        <v>1</v>
      </c>
      <c r="I7" s="14"/>
      <c r="J7" s="14"/>
      <c r="K7" s="14"/>
    </row>
    <row r="8">
      <c r="A8" s="10" t="s">
        <v>19</v>
      </c>
      <c r="B8" s="16"/>
      <c r="C8" s="16"/>
      <c r="D8" s="16"/>
      <c r="E8" s="16"/>
      <c r="F8" s="16"/>
      <c r="G8" s="16"/>
      <c r="H8" s="11"/>
      <c r="I8" s="17"/>
      <c r="J8" s="17"/>
      <c r="K8" s="17"/>
    </row>
    <row r="9">
      <c r="A9" s="18" t="s">
        <v>10</v>
      </c>
      <c r="B9" s="19" t="s">
        <v>11</v>
      </c>
      <c r="C9" s="40" t="s">
        <v>20</v>
      </c>
      <c r="D9" s="21"/>
      <c r="E9" s="41" t="s">
        <v>21</v>
      </c>
      <c r="F9" s="21"/>
      <c r="G9" s="23" t="s">
        <v>14</v>
      </c>
      <c r="H9" s="23"/>
      <c r="I9" s="42"/>
      <c r="J9" s="42"/>
      <c r="K9" s="42"/>
    </row>
    <row r="10">
      <c r="A10" s="25">
        <v>0.5486111111111112</v>
      </c>
      <c r="B10" s="26" t="s">
        <v>22</v>
      </c>
      <c r="C10" s="43"/>
      <c r="D10" s="14" t="str">
        <f>IF(ISBLANK(C10), "0", WinPoints)</f>
        <v>0</v>
      </c>
      <c r="E10" s="44"/>
      <c r="F10" s="14" t="str">
        <f>IF(ISBLANK(E10), "0", WinPoints)</f>
        <v>0</v>
      </c>
      <c r="G10" s="29" t="s">
        <v>16</v>
      </c>
      <c r="H10" s="30">
        <f>IF(ISBLANK(G10), "0", PushPoints)</f>
        <v>1</v>
      </c>
      <c r="I10" s="14"/>
      <c r="J10" s="14"/>
      <c r="K10" s="14"/>
    </row>
    <row r="11">
      <c r="A11" s="25">
        <v>0.5625</v>
      </c>
      <c r="B11" s="26" t="s">
        <v>23</v>
      </c>
      <c r="C11" s="43" t="s">
        <v>16</v>
      </c>
      <c r="D11" s="14">
        <f>IF(ISBLANK(C11), "0", WinPoints)</f>
        <v>3</v>
      </c>
      <c r="E11" s="44"/>
      <c r="F11" s="14" t="str">
        <f>IF(ISBLANK(E11), "0", WinPoints)</f>
        <v>0</v>
      </c>
      <c r="G11" s="30"/>
      <c r="H11" s="30" t="str">
        <f>IF(ISBLANK(G11), "0", PushPoints)</f>
        <v>0</v>
      </c>
      <c r="I11" s="14"/>
      <c r="J11" s="14"/>
      <c r="K11" s="14"/>
    </row>
    <row r="12">
      <c r="A12" s="32">
        <v>0.5763888888888888</v>
      </c>
      <c r="B12" s="33" t="s">
        <v>24</v>
      </c>
      <c r="C12" s="45"/>
      <c r="D12" s="14" t="str">
        <f>IF(ISBLANK(C12), "0", WinPoints)</f>
        <v>0</v>
      </c>
      <c r="E12" s="46" t="s">
        <v>16</v>
      </c>
      <c r="F12" s="36">
        <f>IF(ISBLANK(E12), "0", WinPoints)</f>
        <v>3</v>
      </c>
      <c r="G12" s="38"/>
      <c r="H12" s="30" t="str">
        <f>IF(ISBLANK(G12), "0", PushPoints)</f>
        <v>0</v>
      </c>
      <c r="I12" s="14"/>
      <c r="J12" s="14"/>
      <c r="K12" s="14"/>
    </row>
    <row r="13">
      <c r="C13" s="14"/>
      <c r="D13" s="14">
        <f>SUM(D10:D12)</f>
        <v>3</v>
      </c>
      <c r="E13" s="14"/>
      <c r="F13" s="14">
        <f>SUM(F10:F12)</f>
        <v>3</v>
      </c>
      <c r="G13" s="14"/>
      <c r="H13" s="14">
        <f>SUM(H10:H12)</f>
        <v>1</v>
      </c>
    </row>
    <row r="14">
      <c r="A14" s="10" t="s">
        <v>25</v>
      </c>
      <c r="B14" s="16"/>
      <c r="C14" s="16"/>
      <c r="D14" s="16"/>
      <c r="E14" s="16"/>
      <c r="F14" s="16"/>
      <c r="G14" s="16"/>
      <c r="H14" s="11"/>
      <c r="I14" s="17"/>
      <c r="J14" s="17"/>
      <c r="K14" s="17"/>
    </row>
    <row r="15">
      <c r="A15" s="18" t="s">
        <v>10</v>
      </c>
      <c r="B15" s="19" t="s">
        <v>11</v>
      </c>
      <c r="C15" s="20" t="s">
        <v>12</v>
      </c>
      <c r="D15" s="21"/>
      <c r="E15" s="22" t="s">
        <v>13</v>
      </c>
      <c r="F15" s="21"/>
      <c r="G15" s="23" t="s">
        <v>14</v>
      </c>
      <c r="H15" s="23" t="s">
        <v>14</v>
      </c>
      <c r="I15" s="24"/>
      <c r="J15" s="24"/>
      <c r="K15" s="24"/>
    </row>
    <row r="16">
      <c r="A16" s="25"/>
      <c r="B16" s="26" t="s">
        <v>26</v>
      </c>
      <c r="C16" s="27"/>
      <c r="D16" s="14" t="str">
        <f>IF(ISBLANK(C16), "0", WinPoints)</f>
        <v>0</v>
      </c>
      <c r="E16" s="28" t="s">
        <v>16</v>
      </c>
      <c r="F16" s="14">
        <f>IF(ISBLANK(E16), "0", WinPoints)</f>
        <v>3</v>
      </c>
      <c r="G16" s="30"/>
      <c r="H16" s="30" t="str">
        <f>IF(ISBLANK(G16), "0", PushPoints)</f>
        <v>0</v>
      </c>
      <c r="I16" s="14"/>
      <c r="J16" s="14"/>
      <c r="K16" s="14"/>
    </row>
    <row r="17">
      <c r="A17" s="25"/>
      <c r="B17" s="26" t="s">
        <v>27</v>
      </c>
      <c r="C17" s="27" t="s">
        <v>16</v>
      </c>
      <c r="D17" s="14">
        <f>IF(ISBLANK(C17), "0", WinPoints)</f>
        <v>3</v>
      </c>
      <c r="E17" s="31"/>
      <c r="F17" s="14" t="str">
        <f>IF(ISBLANK(E17), "0", WinPoints)</f>
        <v>0</v>
      </c>
      <c r="G17" s="30"/>
      <c r="H17" s="30" t="str">
        <f>IF(ISBLANK(G17), "0", PushPoints)</f>
        <v>0</v>
      </c>
      <c r="I17" s="14"/>
      <c r="J17" s="14"/>
      <c r="K17" s="14"/>
    </row>
    <row r="18">
      <c r="A18" s="32"/>
      <c r="B18" s="33" t="s">
        <v>28</v>
      </c>
      <c r="C18" s="47"/>
      <c r="D18" s="14" t="str">
        <f>IF(ISBLANK(C18), "0", WinPoints)</f>
        <v>0</v>
      </c>
      <c r="E18" s="48" t="s">
        <v>16</v>
      </c>
      <c r="F18" s="36">
        <f>IF(ISBLANK(E18), "0", WinPoints)</f>
        <v>3</v>
      </c>
      <c r="G18" s="38"/>
      <c r="H18" s="30" t="str">
        <f>IF(ISBLANK(G18), "0", PushPoints)</f>
        <v>0</v>
      </c>
      <c r="I18" s="14"/>
      <c r="J18" s="14"/>
      <c r="K18" s="14"/>
    </row>
    <row r="19">
      <c r="A19" s="39"/>
      <c r="C19" s="14"/>
      <c r="D19" s="14">
        <f>SUM(D16:D18)</f>
        <v>3</v>
      </c>
      <c r="E19" s="14"/>
      <c r="F19" s="14">
        <f>SUM(F16:F18)</f>
        <v>6</v>
      </c>
      <c r="G19" s="14"/>
      <c r="H19" s="14">
        <f>SUM(H16:H18)</f>
        <v>0</v>
      </c>
      <c r="I19" s="14"/>
      <c r="J19" s="14"/>
      <c r="K19" s="14"/>
    </row>
    <row r="20">
      <c r="A20" s="10" t="s">
        <v>29</v>
      </c>
      <c r="B20" s="16"/>
      <c r="C20" s="16"/>
      <c r="D20" s="16"/>
      <c r="E20" s="16"/>
      <c r="F20" s="16"/>
      <c r="G20" s="16"/>
      <c r="H20" s="11"/>
      <c r="I20" s="17"/>
      <c r="J20" s="17"/>
      <c r="K20" s="17"/>
    </row>
    <row r="21">
      <c r="A21" s="18" t="s">
        <v>10</v>
      </c>
      <c r="B21" s="19" t="s">
        <v>11</v>
      </c>
      <c r="C21" s="40" t="s">
        <v>20</v>
      </c>
      <c r="D21" s="21"/>
      <c r="E21" s="41" t="s">
        <v>21</v>
      </c>
      <c r="F21" s="21"/>
      <c r="G21" s="23" t="s">
        <v>14</v>
      </c>
      <c r="H21" s="23" t="s">
        <v>14</v>
      </c>
      <c r="I21" s="42"/>
      <c r="J21" s="42"/>
      <c r="K21" s="42"/>
    </row>
    <row r="22">
      <c r="A22" s="25"/>
      <c r="B22" s="26" t="s">
        <v>30</v>
      </c>
      <c r="C22" s="43" t="s">
        <v>16</v>
      </c>
      <c r="D22" s="14">
        <f>IF(ISBLANK(C22), "0", WinPoints)</f>
        <v>3</v>
      </c>
      <c r="E22" s="49"/>
      <c r="F22" s="14" t="str">
        <f>IF(ISBLANK(E22), "0", WinPoints)</f>
        <v>0</v>
      </c>
      <c r="G22" s="30"/>
      <c r="H22" s="30" t="str">
        <f>IF(ISBLANK(G22), "0", PushPoints)</f>
        <v>0</v>
      </c>
      <c r="I22" s="14"/>
      <c r="J22" s="14"/>
      <c r="K22" s="14"/>
    </row>
    <row r="23">
      <c r="A23" s="25"/>
      <c r="B23" s="26" t="s">
        <v>31</v>
      </c>
      <c r="C23" s="43" t="s">
        <v>16</v>
      </c>
      <c r="D23" s="14">
        <f>IF(ISBLANK(C23), "0", WinPoints)</f>
        <v>3</v>
      </c>
      <c r="E23" s="44"/>
      <c r="F23" s="14" t="str">
        <f>IF(ISBLANK(E23), "0", WinPoints)</f>
        <v>0</v>
      </c>
      <c r="G23" s="30"/>
      <c r="H23" s="30" t="str">
        <f>IF(ISBLANK(G23), "0", PushPoints)</f>
        <v>0</v>
      </c>
      <c r="I23" s="14"/>
      <c r="J23" s="14"/>
      <c r="K23" s="14"/>
    </row>
    <row r="24">
      <c r="A24" s="32"/>
      <c r="B24" s="33" t="s">
        <v>32</v>
      </c>
      <c r="C24" s="50"/>
      <c r="D24" s="14" t="str">
        <f>IF(ISBLANK(C24), "0", WinPoints)</f>
        <v>0</v>
      </c>
      <c r="E24" s="46" t="s">
        <v>16</v>
      </c>
      <c r="F24" s="36">
        <f>IF(ISBLANK(E24), "0", WinPoints)</f>
        <v>3</v>
      </c>
      <c r="G24" s="38"/>
      <c r="H24" s="30" t="str">
        <f>IF(ISBLANK(G24), "0", PushPoints)</f>
        <v>0</v>
      </c>
      <c r="I24" s="14"/>
      <c r="J24" s="14"/>
      <c r="K24" s="14"/>
    </row>
    <row r="25">
      <c r="C25" s="14"/>
      <c r="D25" s="14">
        <f>SUM(D22:D24)</f>
        <v>6</v>
      </c>
      <c r="E25" s="14"/>
      <c r="F25" s="14">
        <f>SUM(F22:F24)</f>
        <v>3</v>
      </c>
      <c r="G25" s="14"/>
      <c r="H25" s="14">
        <f>SUM(H22:H24)</f>
        <v>0</v>
      </c>
    </row>
    <row r="26">
      <c r="A26" s="10" t="s">
        <v>33</v>
      </c>
      <c r="B26" s="16"/>
      <c r="C26" s="16"/>
      <c r="D26" s="16"/>
      <c r="E26" s="16"/>
      <c r="F26" s="16"/>
      <c r="G26" s="16"/>
      <c r="H26" s="11"/>
      <c r="I26" s="17"/>
      <c r="J26" s="17"/>
      <c r="K26" s="17"/>
    </row>
    <row r="27">
      <c r="A27" s="18" t="s">
        <v>10</v>
      </c>
      <c r="B27" s="19" t="s">
        <v>11</v>
      </c>
      <c r="C27" s="21" t="s">
        <v>34</v>
      </c>
      <c r="D27" s="21"/>
      <c r="E27" s="21" t="s">
        <v>34</v>
      </c>
      <c r="F27" s="21"/>
      <c r="G27" s="23" t="s">
        <v>14</v>
      </c>
      <c r="H27" s="23" t="s">
        <v>14</v>
      </c>
      <c r="I27" s="24"/>
      <c r="J27" s="24"/>
      <c r="K27" s="24"/>
    </row>
    <row r="28">
      <c r="A28" s="51"/>
      <c r="B28" s="26" t="s">
        <v>35</v>
      </c>
      <c r="C28" s="26"/>
      <c r="D28" s="14" t="str">
        <f>IF(ISBLANK(C28), "0", WinPoints)</f>
        <v>0</v>
      </c>
      <c r="E28" s="14"/>
      <c r="F28" s="14" t="str">
        <f>IF(ISBLANK(E28), "0", WinPoints)</f>
        <v>0</v>
      </c>
      <c r="G28" s="30"/>
      <c r="H28" s="30" t="str">
        <f>IF(ISBLANK(G28), "0", PushPoints)</f>
        <v>0</v>
      </c>
      <c r="I28" s="14"/>
      <c r="J28" s="14"/>
      <c r="K28" s="14"/>
    </row>
    <row r="29">
      <c r="A29" s="25"/>
      <c r="B29" s="26" t="s">
        <v>36</v>
      </c>
      <c r="C29" s="26"/>
      <c r="D29" s="14" t="str">
        <f>IF(ISBLANK(C29), "0", WinPoints)</f>
        <v>0</v>
      </c>
      <c r="E29" s="14"/>
      <c r="F29" s="14" t="str">
        <f>IF(ISBLANK(E29), "0", WinPoints)</f>
        <v>0</v>
      </c>
      <c r="G29" s="30"/>
      <c r="H29" s="30" t="str">
        <f>IF(ISBLANK(G29), "0", PushPoints)</f>
        <v>0</v>
      </c>
      <c r="I29" s="14"/>
      <c r="J29" s="14"/>
      <c r="K29" s="14"/>
    </row>
    <row r="30">
      <c r="A30" s="32"/>
      <c r="B30" s="33" t="s">
        <v>37</v>
      </c>
      <c r="C30" s="33"/>
      <c r="D30" s="14" t="str">
        <f>IF(ISBLANK(C30), "0", WinPoints)</f>
        <v>0</v>
      </c>
      <c r="E30" s="36"/>
      <c r="F30" s="36" t="str">
        <f>IF(ISBLANK(E30), "0", WinPoints)</f>
        <v>0</v>
      </c>
      <c r="G30" s="38"/>
      <c r="H30" s="30" t="str">
        <f>IF(ISBLANK(G30), "0", PushPoints)</f>
        <v>0</v>
      </c>
      <c r="I30" s="14"/>
      <c r="J30" s="14"/>
      <c r="K30" s="14"/>
    </row>
    <row r="31">
      <c r="A31" s="39"/>
      <c r="C31" s="14"/>
      <c r="D31" s="14">
        <f>SUM(D28:D30)</f>
        <v>0</v>
      </c>
      <c r="E31" s="14"/>
      <c r="F31" s="14">
        <f>SUM(F28:F30)</f>
        <v>0</v>
      </c>
      <c r="G31" s="14"/>
      <c r="H31" s="14">
        <f>SUM(H28:H30)</f>
        <v>0</v>
      </c>
      <c r="I31" s="14"/>
      <c r="J31" s="14"/>
      <c r="K31" s="14"/>
    </row>
    <row r="32">
      <c r="A32" s="10" t="s">
        <v>38</v>
      </c>
      <c r="B32" s="16"/>
      <c r="C32" s="16"/>
      <c r="D32" s="16"/>
      <c r="E32" s="16"/>
      <c r="F32" s="16"/>
      <c r="G32" s="16"/>
      <c r="H32" s="11"/>
      <c r="I32" s="17"/>
      <c r="J32" s="17"/>
      <c r="K32" s="17"/>
    </row>
    <row r="33">
      <c r="A33" s="18" t="s">
        <v>10</v>
      </c>
      <c r="B33" s="19" t="s">
        <v>11</v>
      </c>
      <c r="C33" s="21" t="s">
        <v>34</v>
      </c>
      <c r="D33" s="21"/>
      <c r="E33" s="21" t="s">
        <v>34</v>
      </c>
      <c r="F33" s="21"/>
      <c r="G33" s="23" t="s">
        <v>14</v>
      </c>
      <c r="H33" s="23" t="s">
        <v>14</v>
      </c>
      <c r="I33" s="42"/>
      <c r="J33" s="42"/>
      <c r="K33" s="42"/>
    </row>
    <row r="34">
      <c r="A34" s="25"/>
      <c r="B34" s="26" t="s">
        <v>39</v>
      </c>
      <c r="C34" s="26"/>
      <c r="D34" s="14" t="str">
        <f>IF(ISBLANK(C34), "0", WinPoints)</f>
        <v>0</v>
      </c>
      <c r="E34" s="14"/>
      <c r="F34" s="14" t="str">
        <f>IF(ISBLANK(E34), "0", WinPoints)</f>
        <v>0</v>
      </c>
      <c r="G34" s="30"/>
      <c r="H34" s="30" t="str">
        <f>IF(ISBLANK(G34), "0", PushPoints)</f>
        <v>0</v>
      </c>
      <c r="I34" s="14"/>
      <c r="J34" s="14"/>
      <c r="K34" s="14"/>
    </row>
    <row r="35">
      <c r="A35" s="25"/>
      <c r="B35" s="26" t="s">
        <v>40</v>
      </c>
      <c r="C35" s="14"/>
      <c r="D35" s="14" t="str">
        <f>IF(ISBLANK(C35), "0", WinPoints)</f>
        <v>0</v>
      </c>
      <c r="E35" s="14"/>
      <c r="F35" s="14" t="str">
        <f>IF(ISBLANK(E35), "0", WinPoints)</f>
        <v>0</v>
      </c>
      <c r="G35" s="30"/>
      <c r="H35" s="30" t="str">
        <f>IF(ISBLANK(G35), "0", PushPoints)</f>
        <v>0</v>
      </c>
      <c r="I35" s="14"/>
      <c r="J35" s="14"/>
      <c r="K35" s="14"/>
    </row>
    <row r="36">
      <c r="A36" s="32"/>
      <c r="B36" s="33" t="s">
        <v>41</v>
      </c>
      <c r="C36" s="36"/>
      <c r="D36" s="14" t="str">
        <f>IF(ISBLANK(C36), "0", WinPoints)</f>
        <v>0</v>
      </c>
      <c r="E36" s="36"/>
      <c r="F36" s="36" t="str">
        <f>IF(ISBLANK(E36), "0", WinPoints)</f>
        <v>0</v>
      </c>
      <c r="G36" s="38"/>
      <c r="H36" s="30" t="str">
        <f>IF(ISBLANK(G36), "0", PushPoints)</f>
        <v>0</v>
      </c>
      <c r="I36" s="14"/>
      <c r="J36" s="14"/>
      <c r="K36" s="14"/>
    </row>
    <row r="37">
      <c r="C37" s="14"/>
      <c r="D37" s="14">
        <f>SUM(D34:D36)</f>
        <v>0</v>
      </c>
      <c r="E37" s="14"/>
      <c r="F37" s="14">
        <f>SUM(F34:F36)</f>
        <v>0</v>
      </c>
      <c r="G37" s="14"/>
      <c r="H37" s="14">
        <f>SUM(H34:H36)</f>
        <v>0</v>
      </c>
    </row>
    <row r="38">
      <c r="C38" s="14"/>
      <c r="D38" s="14"/>
      <c r="E38" s="14"/>
      <c r="F38" s="14"/>
      <c r="G38" s="14"/>
      <c r="H38" s="14"/>
    </row>
    <row r="39">
      <c r="C39" s="14"/>
      <c r="D39" s="14"/>
      <c r="E39" s="14"/>
      <c r="F39" s="14"/>
      <c r="G39" s="14"/>
      <c r="H39" s="14"/>
    </row>
    <row r="40">
      <c r="A40" s="52"/>
      <c r="B40" s="53" t="s">
        <v>42</v>
      </c>
      <c r="C40" s="14"/>
      <c r="D40" s="14"/>
      <c r="E40" s="14"/>
      <c r="F40" s="14"/>
      <c r="G40" s="14"/>
      <c r="H40" s="14"/>
    </row>
    <row r="41">
      <c r="A41" s="54" t="s">
        <v>43</v>
      </c>
      <c r="B41" s="55">
        <v>3.0</v>
      </c>
      <c r="C41" s="14"/>
      <c r="D41" s="14"/>
      <c r="E41" s="14"/>
      <c r="F41" s="14"/>
      <c r="G41" s="14"/>
      <c r="H41" s="14"/>
    </row>
    <row r="42">
      <c r="A42" s="54" t="s">
        <v>44</v>
      </c>
      <c r="B42" s="55">
        <v>0.0</v>
      </c>
      <c r="C42" s="14"/>
      <c r="D42" s="14"/>
      <c r="E42" s="14"/>
      <c r="F42" s="14"/>
      <c r="G42" s="14"/>
      <c r="H42" s="14"/>
    </row>
    <row r="43">
      <c r="A43" s="56" t="s">
        <v>45</v>
      </c>
      <c r="B43" s="57">
        <v>1.0</v>
      </c>
      <c r="C43" s="14"/>
      <c r="D43" s="14"/>
      <c r="E43" s="14"/>
      <c r="F43" s="14"/>
      <c r="G43" s="14"/>
      <c r="H43" s="14"/>
    </row>
    <row r="44">
      <c r="C44" s="14"/>
      <c r="D44" s="14"/>
      <c r="E44" s="14"/>
      <c r="F44" s="14"/>
      <c r="G44" s="14"/>
      <c r="H44" s="14"/>
    </row>
    <row r="45">
      <c r="C45" s="14"/>
      <c r="D45" s="14"/>
      <c r="E45" s="14"/>
      <c r="F45" s="14"/>
      <c r="G45" s="14"/>
      <c r="H45" s="14"/>
    </row>
    <row r="46">
      <c r="C46" s="14"/>
      <c r="D46" s="14"/>
      <c r="E46" s="14"/>
      <c r="F46" s="14"/>
      <c r="G46" s="14"/>
      <c r="H46" s="14"/>
    </row>
    <row r="47">
      <c r="C47" s="14"/>
      <c r="D47" s="14"/>
      <c r="E47" s="14"/>
      <c r="F47" s="14"/>
      <c r="G47" s="14"/>
      <c r="H47" s="14"/>
    </row>
    <row r="48">
      <c r="C48" s="14"/>
      <c r="D48" s="14"/>
      <c r="E48" s="14"/>
      <c r="F48" s="14"/>
      <c r="G48" s="14"/>
      <c r="H48" s="14"/>
    </row>
    <row r="49">
      <c r="C49" s="14"/>
      <c r="D49" s="14"/>
      <c r="E49" s="14"/>
      <c r="F49" s="14"/>
      <c r="G49" s="14"/>
      <c r="H49" s="14"/>
    </row>
    <row r="50">
      <c r="C50" s="14"/>
      <c r="D50" s="14"/>
      <c r="E50" s="14"/>
      <c r="F50" s="14"/>
      <c r="G50" s="14"/>
      <c r="H50" s="14"/>
    </row>
    <row r="51">
      <c r="C51" s="14"/>
      <c r="D51" s="14"/>
      <c r="E51" s="14"/>
      <c r="F51" s="14"/>
      <c r="G51" s="14"/>
      <c r="H51" s="14"/>
    </row>
    <row r="52">
      <c r="C52" s="14"/>
      <c r="D52" s="14"/>
      <c r="E52" s="14"/>
      <c r="F52" s="14"/>
      <c r="G52" s="14"/>
      <c r="H52" s="14"/>
    </row>
    <row r="53">
      <c r="C53" s="14"/>
      <c r="D53" s="14"/>
      <c r="E53" s="14"/>
      <c r="F53" s="14"/>
      <c r="G53" s="14"/>
      <c r="H53" s="14"/>
    </row>
    <row r="54">
      <c r="C54" s="14"/>
      <c r="D54" s="14"/>
      <c r="E54" s="14"/>
      <c r="F54" s="14"/>
      <c r="G54" s="14"/>
      <c r="H54" s="14"/>
    </row>
    <row r="55">
      <c r="C55" s="14"/>
      <c r="D55" s="14"/>
      <c r="E55" s="14"/>
      <c r="F55" s="14"/>
      <c r="G55" s="14"/>
      <c r="H55" s="14"/>
    </row>
    <row r="56">
      <c r="C56" s="14"/>
      <c r="D56" s="14"/>
      <c r="E56" s="14"/>
      <c r="F56" s="14"/>
      <c r="G56" s="14"/>
      <c r="H56" s="14"/>
    </row>
    <row r="57">
      <c r="C57" s="14"/>
      <c r="D57" s="14"/>
      <c r="E57" s="14"/>
      <c r="F57" s="14"/>
      <c r="G57" s="14"/>
      <c r="H57" s="14"/>
    </row>
    <row r="58">
      <c r="C58" s="14"/>
      <c r="D58" s="14"/>
      <c r="E58" s="14"/>
      <c r="F58" s="14"/>
      <c r="G58" s="14"/>
      <c r="H58" s="14"/>
    </row>
    <row r="59">
      <c r="C59" s="14"/>
      <c r="D59" s="14"/>
      <c r="E59" s="14"/>
      <c r="F59" s="14"/>
      <c r="G59" s="14"/>
      <c r="H59" s="14"/>
    </row>
    <row r="60">
      <c r="C60" s="14"/>
      <c r="D60" s="14"/>
      <c r="E60" s="14"/>
      <c r="F60" s="14"/>
      <c r="G60" s="14"/>
      <c r="H60" s="14"/>
    </row>
    <row r="61">
      <c r="C61" s="14"/>
      <c r="D61" s="14"/>
      <c r="E61" s="14"/>
      <c r="F61" s="14"/>
      <c r="G61" s="14"/>
      <c r="H61" s="14"/>
    </row>
    <row r="62">
      <c r="C62" s="14"/>
      <c r="D62" s="14"/>
      <c r="E62" s="14"/>
      <c r="F62" s="14"/>
      <c r="G62" s="14"/>
      <c r="H62" s="14"/>
    </row>
    <row r="63">
      <c r="C63" s="14"/>
      <c r="D63" s="14"/>
      <c r="E63" s="14"/>
      <c r="F63" s="14"/>
      <c r="G63" s="14"/>
      <c r="H63" s="14"/>
    </row>
    <row r="64">
      <c r="C64" s="14"/>
      <c r="D64" s="14"/>
      <c r="E64" s="14"/>
      <c r="F64" s="14"/>
      <c r="G64" s="14"/>
      <c r="H64" s="14"/>
    </row>
    <row r="65">
      <c r="C65" s="14"/>
      <c r="D65" s="14"/>
      <c r="E65" s="14"/>
      <c r="F65" s="14"/>
      <c r="G65" s="14"/>
      <c r="H65" s="14"/>
    </row>
    <row r="66">
      <c r="C66" s="14"/>
      <c r="D66" s="14"/>
      <c r="E66" s="14"/>
      <c r="F66" s="14"/>
      <c r="G66" s="14"/>
      <c r="H66" s="14"/>
    </row>
    <row r="67">
      <c r="C67" s="14"/>
      <c r="D67" s="14"/>
      <c r="E67" s="14"/>
      <c r="F67" s="14"/>
      <c r="G67" s="14"/>
      <c r="H67" s="14"/>
    </row>
    <row r="68">
      <c r="C68" s="14"/>
      <c r="D68" s="14"/>
      <c r="E68" s="14"/>
      <c r="F68" s="14"/>
      <c r="G68" s="14"/>
      <c r="H68" s="14"/>
    </row>
    <row r="69">
      <c r="C69" s="14"/>
      <c r="D69" s="14"/>
      <c r="E69" s="14"/>
      <c r="F69" s="14"/>
      <c r="G69" s="14"/>
      <c r="H69" s="14"/>
    </row>
    <row r="70">
      <c r="C70" s="14"/>
      <c r="D70" s="14"/>
      <c r="E70" s="14"/>
      <c r="F70" s="14"/>
      <c r="G70" s="14"/>
      <c r="H70" s="14"/>
    </row>
    <row r="71">
      <c r="C71" s="14"/>
      <c r="D71" s="14"/>
      <c r="E71" s="14"/>
      <c r="F71" s="14"/>
      <c r="G71" s="14"/>
      <c r="H71" s="14"/>
    </row>
    <row r="72">
      <c r="C72" s="14"/>
      <c r="D72" s="14"/>
      <c r="E72" s="14"/>
      <c r="F72" s="14"/>
      <c r="G72" s="14"/>
      <c r="H72" s="14"/>
    </row>
    <row r="73">
      <c r="C73" s="14"/>
      <c r="D73" s="14"/>
      <c r="E73" s="14"/>
      <c r="F73" s="14"/>
      <c r="G73" s="14"/>
      <c r="H73" s="14"/>
    </row>
    <row r="74">
      <c r="C74" s="14"/>
      <c r="D74" s="14"/>
      <c r="E74" s="14"/>
      <c r="F74" s="14"/>
      <c r="G74" s="14"/>
      <c r="H74" s="14"/>
    </row>
    <row r="75">
      <c r="C75" s="14"/>
      <c r="D75" s="14"/>
      <c r="E75" s="14"/>
      <c r="F75" s="14"/>
      <c r="G75" s="14"/>
      <c r="H75" s="14"/>
    </row>
    <row r="76">
      <c r="C76" s="14"/>
      <c r="D76" s="14"/>
      <c r="E76" s="14"/>
      <c r="F76" s="14"/>
      <c r="G76" s="14"/>
      <c r="H76" s="14"/>
    </row>
    <row r="77">
      <c r="C77" s="14"/>
      <c r="D77" s="14"/>
      <c r="E77" s="14"/>
      <c r="F77" s="14"/>
      <c r="G77" s="14"/>
      <c r="H77" s="14"/>
    </row>
    <row r="78">
      <c r="C78" s="14"/>
      <c r="D78" s="14"/>
      <c r="E78" s="14"/>
      <c r="F78" s="14"/>
      <c r="G78" s="14"/>
      <c r="H78" s="14"/>
    </row>
    <row r="79">
      <c r="C79" s="14"/>
      <c r="D79" s="14"/>
      <c r="E79" s="14"/>
      <c r="F79" s="14"/>
      <c r="G79" s="14"/>
      <c r="H79" s="14"/>
    </row>
    <row r="80">
      <c r="C80" s="14"/>
      <c r="D80" s="14"/>
      <c r="E80" s="14"/>
      <c r="F80" s="14"/>
      <c r="G80" s="14"/>
      <c r="H80" s="14"/>
    </row>
    <row r="81">
      <c r="C81" s="14"/>
      <c r="D81" s="14"/>
      <c r="E81" s="14"/>
      <c r="F81" s="14"/>
      <c r="G81" s="14"/>
      <c r="H81" s="14"/>
    </row>
    <row r="82">
      <c r="C82" s="14"/>
      <c r="D82" s="14"/>
      <c r="E82" s="14"/>
      <c r="F82" s="14"/>
      <c r="G82" s="14"/>
      <c r="H82" s="14"/>
    </row>
    <row r="83">
      <c r="C83" s="14"/>
      <c r="D83" s="14"/>
      <c r="E83" s="14"/>
      <c r="F83" s="14"/>
      <c r="G83" s="14"/>
      <c r="H83" s="14"/>
    </row>
    <row r="84">
      <c r="C84" s="14"/>
      <c r="D84" s="14"/>
      <c r="E84" s="14"/>
      <c r="F84" s="14"/>
      <c r="G84" s="14"/>
      <c r="H84" s="14"/>
    </row>
    <row r="85">
      <c r="C85" s="14"/>
      <c r="D85" s="14"/>
      <c r="E85" s="14"/>
      <c r="F85" s="14"/>
      <c r="G85" s="14"/>
      <c r="H85" s="14"/>
    </row>
    <row r="86">
      <c r="C86" s="14"/>
      <c r="D86" s="14"/>
      <c r="E86" s="14"/>
      <c r="F86" s="14"/>
      <c r="G86" s="14"/>
      <c r="H86" s="14"/>
    </row>
    <row r="87">
      <c r="C87" s="14"/>
      <c r="D87" s="14"/>
      <c r="E87" s="14"/>
      <c r="F87" s="14"/>
      <c r="G87" s="14"/>
      <c r="H87" s="14"/>
    </row>
    <row r="88">
      <c r="C88" s="14"/>
      <c r="D88" s="14"/>
      <c r="E88" s="14"/>
      <c r="F88" s="14"/>
      <c r="G88" s="14"/>
      <c r="H88" s="14"/>
    </row>
    <row r="89">
      <c r="C89" s="14"/>
      <c r="D89" s="14"/>
      <c r="E89" s="14"/>
      <c r="F89" s="14"/>
      <c r="G89" s="14"/>
      <c r="H89" s="14"/>
    </row>
    <row r="90">
      <c r="C90" s="14"/>
      <c r="D90" s="14"/>
      <c r="E90" s="14"/>
      <c r="F90" s="14"/>
      <c r="G90" s="14"/>
      <c r="H90" s="14"/>
    </row>
    <row r="91">
      <c r="C91" s="14"/>
      <c r="D91" s="14"/>
      <c r="E91" s="14"/>
      <c r="F91" s="14"/>
      <c r="G91" s="14"/>
      <c r="H91" s="14"/>
    </row>
    <row r="92">
      <c r="C92" s="14"/>
      <c r="D92" s="14"/>
      <c r="E92" s="14"/>
      <c r="F92" s="14"/>
      <c r="G92" s="14"/>
      <c r="H92" s="14"/>
    </row>
    <row r="93">
      <c r="C93" s="14"/>
      <c r="D93" s="14"/>
      <c r="E93" s="14"/>
      <c r="F93" s="14"/>
      <c r="G93" s="14"/>
      <c r="H93" s="14"/>
    </row>
    <row r="94">
      <c r="C94" s="14"/>
      <c r="D94" s="14"/>
      <c r="E94" s="14"/>
      <c r="F94" s="14"/>
      <c r="G94" s="14"/>
      <c r="H94" s="14"/>
    </row>
    <row r="95">
      <c r="C95" s="14"/>
      <c r="D95" s="14"/>
      <c r="E95" s="14"/>
      <c r="F95" s="14"/>
      <c r="G95" s="14"/>
      <c r="H95" s="14"/>
    </row>
    <row r="96">
      <c r="C96" s="14"/>
      <c r="D96" s="14"/>
      <c r="E96" s="14"/>
      <c r="F96" s="14"/>
      <c r="G96" s="14"/>
      <c r="H96" s="14"/>
    </row>
    <row r="97">
      <c r="C97" s="14"/>
      <c r="D97" s="14"/>
      <c r="E97" s="14"/>
      <c r="F97" s="14"/>
      <c r="G97" s="14"/>
      <c r="H97" s="14"/>
    </row>
    <row r="98">
      <c r="C98" s="14"/>
      <c r="D98" s="14"/>
      <c r="E98" s="14"/>
      <c r="F98" s="14"/>
      <c r="G98" s="14"/>
      <c r="H98" s="14"/>
    </row>
    <row r="99">
      <c r="C99" s="14"/>
      <c r="D99" s="14"/>
      <c r="E99" s="14"/>
      <c r="F99" s="14"/>
      <c r="G99" s="14"/>
      <c r="H99" s="14"/>
    </row>
    <row r="100">
      <c r="C100" s="14"/>
      <c r="D100" s="14"/>
      <c r="E100" s="14"/>
      <c r="F100" s="14"/>
      <c r="G100" s="14"/>
      <c r="H100" s="14"/>
    </row>
    <row r="101">
      <c r="C101" s="14"/>
      <c r="D101" s="14"/>
      <c r="E101" s="14"/>
      <c r="F101" s="14"/>
      <c r="G101" s="14"/>
      <c r="H101" s="14"/>
    </row>
    <row r="102">
      <c r="C102" s="14"/>
      <c r="D102" s="14"/>
      <c r="E102" s="14"/>
      <c r="F102" s="14"/>
      <c r="G102" s="14"/>
      <c r="H102" s="14"/>
    </row>
    <row r="103">
      <c r="C103" s="14"/>
      <c r="D103" s="14"/>
      <c r="E103" s="14"/>
      <c r="F103" s="14"/>
      <c r="G103" s="14"/>
      <c r="H103" s="14"/>
    </row>
    <row r="104">
      <c r="C104" s="14"/>
      <c r="D104" s="14"/>
      <c r="E104" s="14"/>
      <c r="F104" s="14"/>
      <c r="G104" s="14"/>
      <c r="H104" s="14"/>
    </row>
    <row r="105">
      <c r="C105" s="14"/>
      <c r="D105" s="14"/>
      <c r="E105" s="14"/>
      <c r="F105" s="14"/>
      <c r="G105" s="14"/>
      <c r="H105" s="14"/>
    </row>
    <row r="106">
      <c r="C106" s="14"/>
      <c r="D106" s="14"/>
      <c r="E106" s="14"/>
      <c r="F106" s="14"/>
      <c r="G106" s="14"/>
      <c r="H106" s="14"/>
    </row>
    <row r="107">
      <c r="C107" s="14"/>
      <c r="D107" s="14"/>
      <c r="E107" s="14"/>
      <c r="F107" s="14"/>
      <c r="G107" s="14"/>
      <c r="H107" s="14"/>
    </row>
    <row r="108">
      <c r="C108" s="14"/>
      <c r="D108" s="14"/>
      <c r="E108" s="14"/>
      <c r="F108" s="14"/>
      <c r="G108" s="14"/>
      <c r="H108" s="14"/>
    </row>
    <row r="109">
      <c r="C109" s="14"/>
      <c r="D109" s="14"/>
      <c r="E109" s="14"/>
      <c r="F109" s="14"/>
      <c r="G109" s="14"/>
      <c r="H109" s="14"/>
    </row>
    <row r="110">
      <c r="C110" s="14"/>
      <c r="D110" s="14"/>
      <c r="E110" s="14"/>
      <c r="F110" s="14"/>
      <c r="G110" s="14"/>
      <c r="H110" s="14"/>
    </row>
    <row r="111">
      <c r="C111" s="14"/>
      <c r="D111" s="14"/>
      <c r="E111" s="14"/>
      <c r="F111" s="14"/>
      <c r="G111" s="14"/>
      <c r="H111" s="14"/>
    </row>
    <row r="112">
      <c r="C112" s="14"/>
      <c r="D112" s="14"/>
      <c r="E112" s="14"/>
      <c r="F112" s="14"/>
      <c r="G112" s="14"/>
      <c r="H112" s="14"/>
    </row>
    <row r="113">
      <c r="C113" s="14"/>
      <c r="D113" s="14"/>
      <c r="E113" s="14"/>
      <c r="F113" s="14"/>
      <c r="G113" s="14"/>
      <c r="H113" s="14"/>
    </row>
    <row r="114">
      <c r="C114" s="14"/>
      <c r="D114" s="14"/>
      <c r="E114" s="14"/>
      <c r="F114" s="14"/>
      <c r="G114" s="14"/>
      <c r="H114" s="14"/>
    </row>
    <row r="115">
      <c r="C115" s="14"/>
      <c r="D115" s="14"/>
      <c r="E115" s="14"/>
      <c r="F115" s="14"/>
      <c r="G115" s="14"/>
      <c r="H115" s="14"/>
    </row>
    <row r="116">
      <c r="C116" s="14"/>
      <c r="D116" s="14"/>
      <c r="E116" s="14"/>
      <c r="F116" s="14"/>
      <c r="G116" s="14"/>
      <c r="H116" s="14"/>
    </row>
    <row r="117">
      <c r="C117" s="14"/>
      <c r="D117" s="14"/>
      <c r="E117" s="14"/>
      <c r="F117" s="14"/>
      <c r="G117" s="14"/>
      <c r="H117" s="14"/>
    </row>
    <row r="118">
      <c r="C118" s="14"/>
      <c r="D118" s="14"/>
      <c r="E118" s="14"/>
      <c r="F118" s="14"/>
      <c r="G118" s="14"/>
      <c r="H118" s="14"/>
    </row>
    <row r="119">
      <c r="C119" s="14"/>
      <c r="D119" s="14"/>
      <c r="E119" s="14"/>
      <c r="F119" s="14"/>
      <c r="G119" s="14"/>
      <c r="H119" s="14"/>
    </row>
    <row r="120">
      <c r="C120" s="14"/>
      <c r="D120" s="14"/>
      <c r="E120" s="14"/>
      <c r="F120" s="14"/>
      <c r="G120" s="14"/>
      <c r="H120" s="14"/>
    </row>
    <row r="121">
      <c r="C121" s="14"/>
      <c r="D121" s="14"/>
      <c r="E121" s="14"/>
      <c r="F121" s="14"/>
      <c r="G121" s="14"/>
      <c r="H121" s="14"/>
    </row>
    <row r="122">
      <c r="C122" s="14"/>
      <c r="D122" s="14"/>
      <c r="E122" s="14"/>
      <c r="F122" s="14"/>
      <c r="G122" s="14"/>
      <c r="H122" s="14"/>
    </row>
    <row r="123">
      <c r="C123" s="14"/>
      <c r="D123" s="14"/>
      <c r="E123" s="14"/>
      <c r="F123" s="14"/>
      <c r="G123" s="14"/>
      <c r="H123" s="14"/>
    </row>
    <row r="124">
      <c r="C124" s="14"/>
      <c r="D124" s="14"/>
      <c r="E124" s="14"/>
      <c r="F124" s="14"/>
      <c r="G124" s="14"/>
      <c r="H124" s="14"/>
    </row>
    <row r="125">
      <c r="C125" s="14"/>
      <c r="D125" s="14"/>
      <c r="E125" s="14"/>
      <c r="F125" s="14"/>
      <c r="G125" s="14"/>
      <c r="H125" s="14"/>
    </row>
    <row r="126">
      <c r="C126" s="14"/>
      <c r="D126" s="14"/>
      <c r="E126" s="14"/>
      <c r="F126" s="14"/>
      <c r="G126" s="14"/>
      <c r="H126" s="14"/>
    </row>
    <row r="127">
      <c r="C127" s="14"/>
      <c r="D127" s="14"/>
      <c r="E127" s="14"/>
      <c r="F127" s="14"/>
      <c r="G127" s="14"/>
      <c r="H127" s="14"/>
    </row>
    <row r="128">
      <c r="C128" s="14"/>
      <c r="D128" s="14"/>
      <c r="E128" s="14"/>
      <c r="F128" s="14"/>
      <c r="G128" s="14"/>
      <c r="H128" s="14"/>
    </row>
    <row r="129">
      <c r="C129" s="14"/>
      <c r="D129" s="14"/>
      <c r="E129" s="14"/>
      <c r="F129" s="14"/>
      <c r="G129" s="14"/>
      <c r="H129" s="14"/>
    </row>
    <row r="130">
      <c r="C130" s="14"/>
      <c r="D130" s="14"/>
      <c r="E130" s="14"/>
      <c r="F130" s="14"/>
      <c r="G130" s="14"/>
      <c r="H130" s="14"/>
    </row>
    <row r="131">
      <c r="C131" s="14"/>
      <c r="D131" s="14"/>
      <c r="E131" s="14"/>
      <c r="F131" s="14"/>
      <c r="G131" s="14"/>
      <c r="H131" s="14"/>
    </row>
    <row r="132">
      <c r="C132" s="14"/>
      <c r="D132" s="14"/>
      <c r="E132" s="14"/>
      <c r="F132" s="14"/>
      <c r="G132" s="14"/>
      <c r="H132" s="14"/>
    </row>
    <row r="133">
      <c r="C133" s="14"/>
      <c r="D133" s="14"/>
      <c r="E133" s="14"/>
      <c r="F133" s="14"/>
      <c r="G133" s="14"/>
      <c r="H133" s="14"/>
    </row>
    <row r="134">
      <c r="C134" s="14"/>
      <c r="D134" s="14"/>
      <c r="E134" s="14"/>
      <c r="F134" s="14"/>
      <c r="G134" s="14"/>
      <c r="H134" s="14"/>
    </row>
    <row r="135">
      <c r="C135" s="14"/>
      <c r="D135" s="14"/>
      <c r="E135" s="14"/>
      <c r="F135" s="14"/>
      <c r="G135" s="14"/>
      <c r="H135" s="14"/>
    </row>
    <row r="136">
      <c r="C136" s="14"/>
      <c r="D136" s="14"/>
      <c r="E136" s="14"/>
      <c r="F136" s="14"/>
      <c r="G136" s="14"/>
      <c r="H136" s="14"/>
    </row>
    <row r="137">
      <c r="C137" s="14"/>
      <c r="D137" s="14"/>
      <c r="E137" s="14"/>
      <c r="F137" s="14"/>
      <c r="G137" s="14"/>
      <c r="H137" s="14"/>
    </row>
    <row r="138">
      <c r="C138" s="14"/>
      <c r="D138" s="14"/>
      <c r="E138" s="14"/>
      <c r="F138" s="14"/>
      <c r="G138" s="14"/>
      <c r="H138" s="14"/>
    </row>
    <row r="139">
      <c r="C139" s="14"/>
      <c r="D139" s="14"/>
      <c r="E139" s="14"/>
      <c r="F139" s="14"/>
      <c r="G139" s="14"/>
      <c r="H139" s="14"/>
    </row>
    <row r="140">
      <c r="C140" s="14"/>
      <c r="D140" s="14"/>
      <c r="E140" s="14"/>
      <c r="F140" s="14"/>
      <c r="G140" s="14"/>
      <c r="H140" s="14"/>
    </row>
    <row r="141">
      <c r="C141" s="14"/>
      <c r="D141" s="14"/>
      <c r="E141" s="14"/>
      <c r="F141" s="14"/>
      <c r="G141" s="14"/>
      <c r="H141" s="14"/>
    </row>
    <row r="142">
      <c r="C142" s="14"/>
      <c r="D142" s="14"/>
      <c r="E142" s="14"/>
      <c r="F142" s="14"/>
      <c r="G142" s="14"/>
      <c r="H142" s="14"/>
    </row>
    <row r="143">
      <c r="C143" s="14"/>
      <c r="D143" s="14"/>
      <c r="E143" s="14"/>
      <c r="F143" s="14"/>
      <c r="G143" s="14"/>
      <c r="H143" s="14"/>
    </row>
    <row r="144">
      <c r="C144" s="14"/>
      <c r="D144" s="14"/>
      <c r="E144" s="14"/>
      <c r="F144" s="14"/>
      <c r="G144" s="14"/>
      <c r="H144" s="14"/>
    </row>
    <row r="145">
      <c r="C145" s="14"/>
      <c r="D145" s="14"/>
      <c r="E145" s="14"/>
      <c r="F145" s="14"/>
      <c r="G145" s="14"/>
      <c r="H145" s="14"/>
    </row>
    <row r="146">
      <c r="C146" s="14"/>
      <c r="D146" s="14"/>
      <c r="E146" s="14"/>
      <c r="F146" s="14"/>
      <c r="G146" s="14"/>
      <c r="H146" s="14"/>
    </row>
    <row r="147">
      <c r="C147" s="14"/>
      <c r="D147" s="14"/>
      <c r="E147" s="14"/>
      <c r="F147" s="14"/>
      <c r="G147" s="14"/>
      <c r="H147" s="14"/>
    </row>
    <row r="148">
      <c r="C148" s="14"/>
      <c r="D148" s="14"/>
      <c r="E148" s="14"/>
      <c r="F148" s="14"/>
      <c r="G148" s="14"/>
      <c r="H148" s="14"/>
    </row>
    <row r="149">
      <c r="C149" s="14"/>
      <c r="D149" s="14"/>
      <c r="E149" s="14"/>
      <c r="F149" s="14"/>
      <c r="G149" s="14"/>
      <c r="H149" s="14"/>
    </row>
    <row r="150">
      <c r="C150" s="14"/>
      <c r="D150" s="14"/>
      <c r="E150" s="14"/>
      <c r="F150" s="14"/>
      <c r="G150" s="14"/>
      <c r="H150" s="14"/>
    </row>
    <row r="151">
      <c r="C151" s="14"/>
      <c r="D151" s="14"/>
      <c r="E151" s="14"/>
      <c r="F151" s="14"/>
      <c r="G151" s="14"/>
      <c r="H151" s="14"/>
    </row>
    <row r="152">
      <c r="C152" s="14"/>
      <c r="D152" s="14"/>
      <c r="E152" s="14"/>
      <c r="F152" s="14"/>
      <c r="G152" s="14"/>
      <c r="H152" s="14"/>
    </row>
    <row r="153">
      <c r="C153" s="14"/>
      <c r="D153" s="14"/>
      <c r="E153" s="14"/>
      <c r="F153" s="14"/>
      <c r="G153" s="14"/>
      <c r="H153" s="14"/>
    </row>
    <row r="154">
      <c r="C154" s="14"/>
      <c r="D154" s="14"/>
      <c r="E154" s="14"/>
      <c r="F154" s="14"/>
      <c r="G154" s="14"/>
      <c r="H154" s="14"/>
    </row>
    <row r="155">
      <c r="C155" s="14"/>
      <c r="D155" s="14"/>
      <c r="E155" s="14"/>
      <c r="F155" s="14"/>
      <c r="G155" s="14"/>
      <c r="H155" s="14"/>
    </row>
    <row r="156">
      <c r="C156" s="14"/>
      <c r="D156" s="14"/>
      <c r="E156" s="14"/>
      <c r="F156" s="14"/>
      <c r="G156" s="14"/>
      <c r="H156" s="14"/>
    </row>
    <row r="157">
      <c r="C157" s="14"/>
      <c r="D157" s="14"/>
      <c r="E157" s="14"/>
      <c r="F157" s="14"/>
      <c r="G157" s="14"/>
      <c r="H157" s="14"/>
    </row>
    <row r="158">
      <c r="C158" s="14"/>
      <c r="D158" s="14"/>
      <c r="E158" s="14"/>
      <c r="F158" s="14"/>
      <c r="G158" s="14"/>
      <c r="H158" s="14"/>
    </row>
    <row r="159">
      <c r="C159" s="14"/>
      <c r="D159" s="14"/>
      <c r="E159" s="14"/>
      <c r="F159" s="14"/>
      <c r="G159" s="14"/>
      <c r="H159" s="14"/>
    </row>
    <row r="160">
      <c r="C160" s="14"/>
      <c r="D160" s="14"/>
      <c r="E160" s="14"/>
      <c r="F160" s="14"/>
      <c r="G160" s="14"/>
      <c r="H160" s="14"/>
    </row>
    <row r="161">
      <c r="C161" s="14"/>
      <c r="D161" s="14"/>
      <c r="E161" s="14"/>
      <c r="F161" s="14"/>
      <c r="G161" s="14"/>
      <c r="H161" s="14"/>
    </row>
    <row r="162">
      <c r="C162" s="14"/>
      <c r="D162" s="14"/>
      <c r="E162" s="14"/>
      <c r="F162" s="14"/>
      <c r="G162" s="14"/>
      <c r="H162" s="14"/>
    </row>
    <row r="163">
      <c r="C163" s="14"/>
      <c r="D163" s="14"/>
      <c r="E163" s="14"/>
      <c r="F163" s="14"/>
      <c r="G163" s="14"/>
      <c r="H163" s="14"/>
    </row>
    <row r="164">
      <c r="C164" s="14"/>
      <c r="D164" s="14"/>
      <c r="E164" s="14"/>
      <c r="F164" s="14"/>
      <c r="G164" s="14"/>
      <c r="H164" s="14"/>
    </row>
    <row r="165">
      <c r="C165" s="14"/>
      <c r="D165" s="14"/>
      <c r="E165" s="14"/>
      <c r="F165" s="14"/>
      <c r="G165" s="14"/>
      <c r="H165" s="14"/>
    </row>
    <row r="166">
      <c r="C166" s="14"/>
      <c r="D166" s="14"/>
      <c r="E166" s="14"/>
      <c r="F166" s="14"/>
      <c r="G166" s="14"/>
      <c r="H166" s="14"/>
    </row>
    <row r="167">
      <c r="C167" s="14"/>
      <c r="D167" s="14"/>
      <c r="E167" s="14"/>
      <c r="F167" s="14"/>
      <c r="G167" s="14"/>
      <c r="H167" s="14"/>
    </row>
    <row r="168">
      <c r="C168" s="14"/>
      <c r="D168" s="14"/>
      <c r="E168" s="14"/>
      <c r="F168" s="14"/>
      <c r="G168" s="14"/>
      <c r="H168" s="14"/>
    </row>
    <row r="169">
      <c r="C169" s="14"/>
      <c r="D169" s="14"/>
      <c r="E169" s="14"/>
      <c r="F169" s="14"/>
      <c r="G169" s="14"/>
      <c r="H169" s="14"/>
    </row>
    <row r="170">
      <c r="C170" s="14"/>
      <c r="D170" s="14"/>
      <c r="E170" s="14"/>
      <c r="F170" s="14"/>
      <c r="G170" s="14"/>
      <c r="H170" s="14"/>
    </row>
    <row r="171">
      <c r="C171" s="14"/>
      <c r="D171" s="14"/>
      <c r="E171" s="14"/>
      <c r="F171" s="14"/>
      <c r="G171" s="14"/>
      <c r="H171" s="14"/>
    </row>
    <row r="172">
      <c r="C172" s="14"/>
      <c r="D172" s="14"/>
      <c r="E172" s="14"/>
      <c r="F172" s="14"/>
      <c r="G172" s="14"/>
      <c r="H172" s="14"/>
    </row>
    <row r="173">
      <c r="C173" s="14"/>
      <c r="D173" s="14"/>
      <c r="E173" s="14"/>
      <c r="F173" s="14"/>
      <c r="G173" s="14"/>
      <c r="H173" s="14"/>
    </row>
    <row r="174">
      <c r="C174" s="14"/>
      <c r="D174" s="14"/>
      <c r="E174" s="14"/>
      <c r="F174" s="14"/>
      <c r="G174" s="14"/>
      <c r="H174" s="14"/>
    </row>
    <row r="175">
      <c r="C175" s="14"/>
      <c r="D175" s="14"/>
      <c r="E175" s="14"/>
      <c r="F175" s="14"/>
      <c r="G175" s="14"/>
      <c r="H175" s="14"/>
    </row>
    <row r="176">
      <c r="C176" s="14"/>
      <c r="D176" s="14"/>
      <c r="E176" s="14"/>
      <c r="F176" s="14"/>
      <c r="G176" s="14"/>
      <c r="H176" s="14"/>
    </row>
    <row r="177">
      <c r="C177" s="14"/>
      <c r="D177" s="14"/>
      <c r="E177" s="14"/>
      <c r="F177" s="14"/>
      <c r="G177" s="14"/>
      <c r="H177" s="14"/>
    </row>
    <row r="178">
      <c r="C178" s="14"/>
      <c r="D178" s="14"/>
      <c r="E178" s="14"/>
      <c r="F178" s="14"/>
      <c r="G178" s="14"/>
      <c r="H178" s="14"/>
    </row>
    <row r="179">
      <c r="C179" s="14"/>
      <c r="D179" s="14"/>
      <c r="E179" s="14"/>
      <c r="F179" s="14"/>
      <c r="G179" s="14"/>
      <c r="H179" s="14"/>
    </row>
    <row r="180">
      <c r="C180" s="14"/>
      <c r="D180" s="14"/>
      <c r="E180" s="14"/>
      <c r="F180" s="14"/>
      <c r="G180" s="14"/>
      <c r="H180" s="14"/>
    </row>
    <row r="181">
      <c r="C181" s="14"/>
      <c r="D181" s="14"/>
      <c r="E181" s="14"/>
      <c r="F181" s="14"/>
      <c r="G181" s="14"/>
      <c r="H181" s="14"/>
    </row>
    <row r="182">
      <c r="C182" s="14"/>
      <c r="D182" s="14"/>
      <c r="E182" s="14"/>
      <c r="F182" s="14"/>
      <c r="G182" s="14"/>
      <c r="H182" s="14"/>
    </row>
    <row r="183">
      <c r="C183" s="14"/>
      <c r="D183" s="14"/>
      <c r="E183" s="14"/>
      <c r="F183" s="14"/>
      <c r="G183" s="14"/>
      <c r="H183" s="14"/>
    </row>
    <row r="184">
      <c r="C184" s="14"/>
      <c r="D184" s="14"/>
      <c r="E184" s="14"/>
      <c r="F184" s="14"/>
      <c r="G184" s="14"/>
      <c r="H184" s="14"/>
    </row>
    <row r="185">
      <c r="C185" s="14"/>
      <c r="D185" s="14"/>
      <c r="E185" s="14"/>
      <c r="F185" s="14"/>
      <c r="G185" s="14"/>
      <c r="H185" s="14"/>
    </row>
    <row r="186">
      <c r="C186" s="14"/>
      <c r="D186" s="14"/>
      <c r="E186" s="14"/>
      <c r="F186" s="14"/>
      <c r="G186" s="14"/>
      <c r="H186" s="14"/>
    </row>
    <row r="187">
      <c r="C187" s="14"/>
      <c r="D187" s="14"/>
      <c r="E187" s="14"/>
      <c r="F187" s="14"/>
      <c r="G187" s="14"/>
      <c r="H187" s="14"/>
    </row>
    <row r="188">
      <c r="C188" s="14"/>
      <c r="D188" s="14"/>
      <c r="E188" s="14"/>
      <c r="F188" s="14"/>
      <c r="G188" s="14"/>
      <c r="H188" s="14"/>
    </row>
    <row r="189">
      <c r="C189" s="14"/>
      <c r="D189" s="14"/>
      <c r="E189" s="14"/>
      <c r="F189" s="14"/>
      <c r="G189" s="14"/>
      <c r="H189" s="14"/>
    </row>
    <row r="190">
      <c r="C190" s="14"/>
      <c r="D190" s="14"/>
      <c r="E190" s="14"/>
      <c r="F190" s="14"/>
      <c r="G190" s="14"/>
      <c r="H190" s="14"/>
    </row>
    <row r="191">
      <c r="C191" s="14"/>
      <c r="D191" s="14"/>
      <c r="E191" s="14"/>
      <c r="F191" s="14"/>
      <c r="G191" s="14"/>
      <c r="H191" s="14"/>
    </row>
    <row r="192">
      <c r="C192" s="14"/>
      <c r="D192" s="14"/>
      <c r="E192" s="14"/>
      <c r="F192" s="14"/>
      <c r="G192" s="14"/>
      <c r="H192" s="14"/>
    </row>
    <row r="193">
      <c r="C193" s="14"/>
      <c r="D193" s="14"/>
      <c r="E193" s="14"/>
      <c r="F193" s="14"/>
      <c r="G193" s="14"/>
      <c r="H193" s="14"/>
    </row>
    <row r="194">
      <c r="C194" s="14"/>
      <c r="D194" s="14"/>
      <c r="E194" s="14"/>
      <c r="F194" s="14"/>
      <c r="G194" s="14"/>
      <c r="H194" s="14"/>
    </row>
    <row r="195">
      <c r="C195" s="14"/>
      <c r="D195" s="14"/>
      <c r="E195" s="14"/>
      <c r="F195" s="14"/>
      <c r="G195" s="14"/>
      <c r="H195" s="14"/>
    </row>
    <row r="196">
      <c r="C196" s="14"/>
      <c r="D196" s="14"/>
      <c r="E196" s="14"/>
      <c r="F196" s="14"/>
      <c r="G196" s="14"/>
      <c r="H196" s="14"/>
    </row>
    <row r="197">
      <c r="C197" s="14"/>
      <c r="D197" s="14"/>
      <c r="E197" s="14"/>
      <c r="F197" s="14"/>
      <c r="G197" s="14"/>
      <c r="H197" s="14"/>
    </row>
    <row r="198">
      <c r="C198" s="14"/>
      <c r="D198" s="14"/>
      <c r="E198" s="14"/>
      <c r="F198" s="14"/>
      <c r="G198" s="14"/>
      <c r="H198" s="14"/>
    </row>
    <row r="199">
      <c r="C199" s="14"/>
      <c r="D199" s="14"/>
      <c r="E199" s="14"/>
      <c r="F199" s="14"/>
      <c r="G199" s="14"/>
      <c r="H199" s="14"/>
    </row>
    <row r="200">
      <c r="C200" s="14"/>
      <c r="D200" s="14"/>
      <c r="E200" s="14"/>
      <c r="F200" s="14"/>
      <c r="G200" s="14"/>
      <c r="H200" s="14"/>
    </row>
    <row r="201">
      <c r="C201" s="14"/>
      <c r="D201" s="14"/>
      <c r="E201" s="14"/>
      <c r="F201" s="14"/>
      <c r="G201" s="14"/>
      <c r="H201" s="14"/>
    </row>
    <row r="202">
      <c r="C202" s="14"/>
      <c r="D202" s="14"/>
      <c r="E202" s="14"/>
      <c r="F202" s="14"/>
      <c r="G202" s="14"/>
      <c r="H202" s="14"/>
    </row>
    <row r="203">
      <c r="C203" s="14"/>
      <c r="D203" s="14"/>
      <c r="E203" s="14"/>
      <c r="F203" s="14"/>
      <c r="G203" s="14"/>
      <c r="H203" s="14"/>
    </row>
    <row r="204">
      <c r="C204" s="14"/>
      <c r="D204" s="14"/>
      <c r="E204" s="14"/>
      <c r="F204" s="14"/>
      <c r="G204" s="14"/>
      <c r="H204" s="14"/>
    </row>
    <row r="205">
      <c r="C205" s="14"/>
      <c r="D205" s="14"/>
      <c r="E205" s="14"/>
      <c r="F205" s="14"/>
      <c r="G205" s="14"/>
      <c r="H205" s="14"/>
    </row>
    <row r="206">
      <c r="C206" s="14"/>
      <c r="D206" s="14"/>
      <c r="E206" s="14"/>
      <c r="F206" s="14"/>
      <c r="G206" s="14"/>
      <c r="H206" s="14"/>
    </row>
    <row r="207">
      <c r="C207" s="14"/>
      <c r="D207" s="14"/>
      <c r="E207" s="14"/>
      <c r="F207" s="14"/>
      <c r="G207" s="14"/>
      <c r="H207" s="14"/>
    </row>
    <row r="208">
      <c r="C208" s="14"/>
      <c r="D208" s="14"/>
      <c r="E208" s="14"/>
      <c r="F208" s="14"/>
      <c r="G208" s="14"/>
      <c r="H208" s="14"/>
    </row>
    <row r="209">
      <c r="C209" s="14"/>
      <c r="D209" s="14"/>
      <c r="E209" s="14"/>
      <c r="F209" s="14"/>
      <c r="G209" s="14"/>
      <c r="H209" s="14"/>
    </row>
    <row r="210">
      <c r="C210" s="14"/>
      <c r="D210" s="14"/>
      <c r="E210" s="14"/>
      <c r="F210" s="14"/>
      <c r="G210" s="14"/>
      <c r="H210" s="14"/>
    </row>
    <row r="211">
      <c r="C211" s="14"/>
      <c r="D211" s="14"/>
      <c r="E211" s="14"/>
      <c r="F211" s="14"/>
      <c r="G211" s="14"/>
      <c r="H211" s="14"/>
    </row>
    <row r="212">
      <c r="C212" s="14"/>
      <c r="D212" s="14"/>
      <c r="E212" s="14"/>
      <c r="F212" s="14"/>
      <c r="G212" s="14"/>
      <c r="H212" s="14"/>
    </row>
    <row r="213">
      <c r="C213" s="14"/>
      <c r="D213" s="14"/>
      <c r="E213" s="14"/>
      <c r="F213" s="14"/>
      <c r="G213" s="14"/>
      <c r="H213" s="14"/>
    </row>
    <row r="214">
      <c r="C214" s="14"/>
      <c r="D214" s="14"/>
      <c r="E214" s="14"/>
      <c r="F214" s="14"/>
      <c r="G214" s="14"/>
      <c r="H214" s="14"/>
    </row>
    <row r="215">
      <c r="C215" s="14"/>
      <c r="D215" s="14"/>
      <c r="E215" s="14"/>
      <c r="F215" s="14"/>
      <c r="G215" s="14"/>
      <c r="H215" s="14"/>
    </row>
    <row r="216">
      <c r="C216" s="14"/>
      <c r="D216" s="14"/>
      <c r="E216" s="14"/>
      <c r="F216" s="14"/>
      <c r="G216" s="14"/>
      <c r="H216" s="14"/>
    </row>
    <row r="217">
      <c r="C217" s="14"/>
      <c r="D217" s="14"/>
      <c r="E217" s="14"/>
      <c r="F217" s="14"/>
      <c r="G217" s="14"/>
      <c r="H217" s="14"/>
    </row>
    <row r="218">
      <c r="C218" s="14"/>
      <c r="D218" s="14"/>
      <c r="E218" s="14"/>
      <c r="F218" s="14"/>
      <c r="G218" s="14"/>
      <c r="H218" s="14"/>
    </row>
    <row r="219">
      <c r="C219" s="14"/>
      <c r="D219" s="14"/>
      <c r="E219" s="14"/>
      <c r="F219" s="14"/>
      <c r="G219" s="14"/>
      <c r="H219" s="14"/>
    </row>
    <row r="220">
      <c r="C220" s="14"/>
      <c r="D220" s="14"/>
      <c r="E220" s="14"/>
      <c r="F220" s="14"/>
      <c r="G220" s="14"/>
      <c r="H220" s="14"/>
    </row>
    <row r="221">
      <c r="C221" s="14"/>
      <c r="D221" s="14"/>
      <c r="E221" s="14"/>
      <c r="F221" s="14"/>
      <c r="G221" s="14"/>
      <c r="H221" s="14"/>
    </row>
    <row r="222">
      <c r="C222" s="14"/>
      <c r="D222" s="14"/>
      <c r="E222" s="14"/>
      <c r="F222" s="14"/>
      <c r="G222" s="14"/>
      <c r="H222" s="14"/>
    </row>
    <row r="223">
      <c r="C223" s="14"/>
      <c r="D223" s="14"/>
      <c r="E223" s="14"/>
      <c r="F223" s="14"/>
      <c r="G223" s="14"/>
      <c r="H223" s="14"/>
    </row>
    <row r="224">
      <c r="C224" s="14"/>
      <c r="D224" s="14"/>
      <c r="E224" s="14"/>
      <c r="F224" s="14"/>
      <c r="G224" s="14"/>
      <c r="H224" s="14"/>
    </row>
    <row r="225">
      <c r="C225" s="14"/>
      <c r="D225" s="14"/>
      <c r="E225" s="14"/>
      <c r="F225" s="14"/>
      <c r="G225" s="14"/>
      <c r="H225" s="14"/>
    </row>
    <row r="226">
      <c r="C226" s="14"/>
      <c r="D226" s="14"/>
      <c r="E226" s="14"/>
      <c r="F226" s="14"/>
      <c r="G226" s="14"/>
      <c r="H226" s="14"/>
    </row>
    <row r="227">
      <c r="C227" s="14"/>
      <c r="D227" s="14"/>
      <c r="E227" s="14"/>
      <c r="F227" s="14"/>
      <c r="G227" s="14"/>
      <c r="H227" s="14"/>
    </row>
    <row r="228">
      <c r="C228" s="14"/>
      <c r="D228" s="14"/>
      <c r="E228" s="14"/>
      <c r="F228" s="14"/>
      <c r="G228" s="14"/>
      <c r="H228" s="14"/>
    </row>
    <row r="229">
      <c r="C229" s="14"/>
      <c r="D229" s="14"/>
      <c r="E229" s="14"/>
      <c r="F229" s="14"/>
      <c r="G229" s="14"/>
      <c r="H229" s="14"/>
    </row>
    <row r="230">
      <c r="C230" s="14"/>
      <c r="D230" s="14"/>
      <c r="E230" s="14"/>
      <c r="F230" s="14"/>
      <c r="G230" s="14"/>
      <c r="H230" s="14"/>
    </row>
    <row r="231">
      <c r="C231" s="14"/>
      <c r="D231" s="14"/>
      <c r="E231" s="14"/>
      <c r="F231" s="14"/>
      <c r="G231" s="14"/>
      <c r="H231" s="14"/>
    </row>
    <row r="232">
      <c r="C232" s="14"/>
      <c r="D232" s="14"/>
      <c r="E232" s="14"/>
      <c r="F232" s="14"/>
      <c r="G232" s="14"/>
      <c r="H232" s="14"/>
    </row>
    <row r="233">
      <c r="C233" s="14"/>
      <c r="D233" s="14"/>
      <c r="E233" s="14"/>
      <c r="F233" s="14"/>
      <c r="G233" s="14"/>
      <c r="H233" s="14"/>
    </row>
    <row r="234">
      <c r="C234" s="14"/>
      <c r="D234" s="14"/>
      <c r="E234" s="14"/>
      <c r="F234" s="14"/>
      <c r="G234" s="14"/>
      <c r="H234" s="14"/>
    </row>
    <row r="235">
      <c r="C235" s="14"/>
      <c r="D235" s="14"/>
      <c r="E235" s="14"/>
      <c r="F235" s="14"/>
      <c r="G235" s="14"/>
      <c r="H235" s="14"/>
    </row>
    <row r="236">
      <c r="C236" s="14"/>
      <c r="D236" s="14"/>
      <c r="E236" s="14"/>
      <c r="F236" s="14"/>
      <c r="G236" s="14"/>
      <c r="H236" s="14"/>
    </row>
    <row r="237">
      <c r="C237" s="14"/>
      <c r="D237" s="14"/>
      <c r="E237" s="14"/>
      <c r="F237" s="14"/>
      <c r="G237" s="14"/>
      <c r="H237" s="14"/>
    </row>
    <row r="238">
      <c r="C238" s="14"/>
      <c r="D238" s="14"/>
      <c r="E238" s="14"/>
      <c r="F238" s="14"/>
      <c r="G238" s="14"/>
      <c r="H238" s="14"/>
    </row>
    <row r="239">
      <c r="C239" s="14"/>
      <c r="D239" s="14"/>
      <c r="E239" s="14"/>
      <c r="F239" s="14"/>
      <c r="G239" s="14"/>
      <c r="H239" s="14"/>
    </row>
    <row r="240">
      <c r="C240" s="14"/>
      <c r="D240" s="14"/>
      <c r="E240" s="14"/>
      <c r="F240" s="14"/>
      <c r="G240" s="14"/>
      <c r="H240" s="14"/>
    </row>
    <row r="241">
      <c r="C241" s="14"/>
      <c r="D241" s="14"/>
      <c r="E241" s="14"/>
      <c r="F241" s="14"/>
      <c r="G241" s="14"/>
      <c r="H241" s="14"/>
    </row>
    <row r="242">
      <c r="C242" s="14"/>
      <c r="D242" s="14"/>
      <c r="E242" s="14"/>
      <c r="F242" s="14"/>
      <c r="G242" s="14"/>
      <c r="H242" s="14"/>
    </row>
    <row r="243">
      <c r="C243" s="14"/>
      <c r="D243" s="14"/>
      <c r="E243" s="14"/>
      <c r="F243" s="14"/>
      <c r="G243" s="14"/>
      <c r="H243" s="14"/>
    </row>
    <row r="244">
      <c r="C244" s="14"/>
      <c r="D244" s="14"/>
      <c r="E244" s="14"/>
      <c r="F244" s="14"/>
      <c r="G244" s="14"/>
      <c r="H244" s="14"/>
    </row>
    <row r="245">
      <c r="C245" s="14"/>
      <c r="D245" s="14"/>
      <c r="E245" s="14"/>
      <c r="F245" s="14"/>
      <c r="G245" s="14"/>
      <c r="H245" s="14"/>
    </row>
    <row r="246">
      <c r="C246" s="14"/>
      <c r="D246" s="14"/>
      <c r="E246" s="14"/>
      <c r="F246" s="14"/>
      <c r="G246" s="14"/>
      <c r="H246" s="14"/>
    </row>
    <row r="247">
      <c r="C247" s="14"/>
      <c r="D247" s="14"/>
      <c r="E247" s="14"/>
      <c r="F247" s="14"/>
      <c r="G247" s="14"/>
      <c r="H247" s="14"/>
    </row>
    <row r="248">
      <c r="C248" s="14"/>
      <c r="D248" s="14"/>
      <c r="E248" s="14"/>
      <c r="F248" s="14"/>
      <c r="G248" s="14"/>
      <c r="H248" s="14"/>
    </row>
    <row r="249">
      <c r="C249" s="14"/>
      <c r="D249" s="14"/>
      <c r="E249" s="14"/>
      <c r="F249" s="14"/>
      <c r="G249" s="14"/>
      <c r="H249" s="14"/>
    </row>
    <row r="250">
      <c r="C250" s="14"/>
      <c r="D250" s="14"/>
      <c r="E250" s="14"/>
      <c r="F250" s="14"/>
      <c r="G250" s="14"/>
      <c r="H250" s="14"/>
    </row>
    <row r="251">
      <c r="C251" s="14"/>
      <c r="D251" s="14"/>
      <c r="E251" s="14"/>
      <c r="F251" s="14"/>
      <c r="G251" s="14"/>
      <c r="H251" s="14"/>
    </row>
    <row r="252">
      <c r="C252" s="14"/>
      <c r="D252" s="14"/>
      <c r="E252" s="14"/>
      <c r="F252" s="14"/>
      <c r="G252" s="14"/>
      <c r="H252" s="14"/>
    </row>
    <row r="253">
      <c r="C253" s="14"/>
      <c r="D253" s="14"/>
      <c r="E253" s="14"/>
      <c r="F253" s="14"/>
      <c r="G253" s="14"/>
      <c r="H253" s="14"/>
    </row>
    <row r="254">
      <c r="C254" s="14"/>
      <c r="D254" s="14"/>
      <c r="E254" s="14"/>
      <c r="F254" s="14"/>
      <c r="G254" s="14"/>
      <c r="H254" s="14"/>
    </row>
    <row r="255">
      <c r="C255" s="14"/>
      <c r="D255" s="14"/>
      <c r="E255" s="14"/>
      <c r="F255" s="14"/>
      <c r="G255" s="14"/>
      <c r="H255" s="14"/>
    </row>
    <row r="256">
      <c r="C256" s="14"/>
      <c r="D256" s="14"/>
      <c r="E256" s="14"/>
      <c r="F256" s="14"/>
      <c r="G256" s="14"/>
      <c r="H256" s="14"/>
    </row>
    <row r="257">
      <c r="C257" s="14"/>
      <c r="D257" s="14"/>
      <c r="E257" s="14"/>
      <c r="F257" s="14"/>
      <c r="G257" s="14"/>
      <c r="H257" s="14"/>
    </row>
    <row r="258">
      <c r="C258" s="14"/>
      <c r="D258" s="14"/>
      <c r="E258" s="14"/>
      <c r="F258" s="14"/>
      <c r="G258" s="14"/>
      <c r="H258" s="14"/>
    </row>
    <row r="259">
      <c r="C259" s="14"/>
      <c r="D259" s="14"/>
      <c r="E259" s="14"/>
      <c r="F259" s="14"/>
      <c r="G259" s="14"/>
      <c r="H259" s="14"/>
    </row>
    <row r="260">
      <c r="C260" s="14"/>
      <c r="D260" s="14"/>
      <c r="E260" s="14"/>
      <c r="F260" s="14"/>
      <c r="G260" s="14"/>
      <c r="H260" s="14"/>
    </row>
    <row r="261">
      <c r="C261" s="14"/>
      <c r="D261" s="14"/>
      <c r="E261" s="14"/>
      <c r="F261" s="14"/>
      <c r="G261" s="14"/>
      <c r="H261" s="14"/>
    </row>
    <row r="262">
      <c r="C262" s="14"/>
      <c r="D262" s="14"/>
      <c r="E262" s="14"/>
      <c r="F262" s="14"/>
      <c r="G262" s="14"/>
      <c r="H262" s="14"/>
    </row>
    <row r="263">
      <c r="C263" s="14"/>
      <c r="D263" s="14"/>
      <c r="E263" s="14"/>
      <c r="F263" s="14"/>
      <c r="G263" s="14"/>
      <c r="H263" s="14"/>
    </row>
    <row r="264">
      <c r="C264" s="14"/>
      <c r="D264" s="14"/>
      <c r="E264" s="14"/>
      <c r="F264" s="14"/>
      <c r="G264" s="14"/>
      <c r="H264" s="14"/>
    </row>
    <row r="265">
      <c r="C265" s="14"/>
      <c r="D265" s="14"/>
      <c r="E265" s="14"/>
      <c r="F265" s="14"/>
      <c r="G265" s="14"/>
      <c r="H265" s="14"/>
    </row>
    <row r="266">
      <c r="C266" s="14"/>
      <c r="D266" s="14"/>
      <c r="E266" s="14"/>
      <c r="F266" s="14"/>
      <c r="G266" s="14"/>
      <c r="H266" s="14"/>
    </row>
    <row r="267">
      <c r="C267" s="14"/>
      <c r="D267" s="14"/>
      <c r="E267" s="14"/>
      <c r="F267" s="14"/>
      <c r="G267" s="14"/>
      <c r="H267" s="14"/>
    </row>
    <row r="268">
      <c r="C268" s="14"/>
      <c r="D268" s="14"/>
      <c r="E268" s="14"/>
      <c r="F268" s="14"/>
      <c r="G268" s="14"/>
      <c r="H268" s="14"/>
    </row>
    <row r="269">
      <c r="C269" s="14"/>
      <c r="D269" s="14"/>
      <c r="E269" s="14"/>
      <c r="F269" s="14"/>
      <c r="G269" s="14"/>
      <c r="H269" s="14"/>
    </row>
    <row r="270">
      <c r="C270" s="14"/>
      <c r="D270" s="14"/>
      <c r="E270" s="14"/>
      <c r="F270" s="14"/>
      <c r="G270" s="14"/>
      <c r="H270" s="14"/>
    </row>
    <row r="271">
      <c r="C271" s="14"/>
      <c r="D271" s="14"/>
      <c r="E271" s="14"/>
      <c r="F271" s="14"/>
      <c r="G271" s="14"/>
      <c r="H271" s="14"/>
    </row>
    <row r="272">
      <c r="C272" s="14"/>
      <c r="D272" s="14"/>
      <c r="E272" s="14"/>
      <c r="F272" s="14"/>
      <c r="G272" s="14"/>
      <c r="H272" s="14"/>
    </row>
    <row r="273">
      <c r="C273" s="14"/>
      <c r="D273" s="14"/>
      <c r="E273" s="14"/>
      <c r="F273" s="14"/>
      <c r="G273" s="14"/>
      <c r="H273" s="14"/>
    </row>
    <row r="274">
      <c r="C274" s="14"/>
      <c r="D274" s="14"/>
      <c r="E274" s="14"/>
      <c r="F274" s="14"/>
      <c r="G274" s="14"/>
      <c r="H274" s="14"/>
    </row>
    <row r="275">
      <c r="C275" s="14"/>
      <c r="D275" s="14"/>
      <c r="E275" s="14"/>
      <c r="F275" s="14"/>
      <c r="G275" s="14"/>
      <c r="H275" s="14"/>
    </row>
    <row r="276">
      <c r="C276" s="14"/>
      <c r="D276" s="14"/>
      <c r="E276" s="14"/>
      <c r="F276" s="14"/>
      <c r="G276" s="14"/>
      <c r="H276" s="14"/>
    </row>
    <row r="277">
      <c r="C277" s="14"/>
      <c r="D277" s="14"/>
      <c r="E277" s="14"/>
      <c r="F277" s="14"/>
      <c r="G277" s="14"/>
      <c r="H277" s="14"/>
    </row>
    <row r="278">
      <c r="C278" s="14"/>
      <c r="D278" s="14"/>
      <c r="E278" s="14"/>
      <c r="F278" s="14"/>
      <c r="G278" s="14"/>
      <c r="H278" s="14"/>
    </row>
    <row r="279">
      <c r="C279" s="14"/>
      <c r="D279" s="14"/>
      <c r="E279" s="14"/>
      <c r="F279" s="14"/>
      <c r="G279" s="14"/>
      <c r="H279" s="14"/>
    </row>
    <row r="280">
      <c r="C280" s="14"/>
      <c r="D280" s="14"/>
      <c r="E280" s="14"/>
      <c r="F280" s="14"/>
      <c r="G280" s="14"/>
      <c r="H280" s="14"/>
    </row>
    <row r="281">
      <c r="C281" s="14"/>
      <c r="D281" s="14"/>
      <c r="E281" s="14"/>
      <c r="F281" s="14"/>
      <c r="G281" s="14"/>
      <c r="H281" s="14"/>
    </row>
    <row r="282">
      <c r="C282" s="14"/>
      <c r="D282" s="14"/>
      <c r="E282" s="14"/>
      <c r="F282" s="14"/>
      <c r="G282" s="14"/>
      <c r="H282" s="14"/>
    </row>
    <row r="283">
      <c r="C283" s="14"/>
      <c r="D283" s="14"/>
      <c r="E283" s="14"/>
      <c r="F283" s="14"/>
      <c r="G283" s="14"/>
      <c r="H283" s="14"/>
    </row>
    <row r="284">
      <c r="C284" s="14"/>
      <c r="D284" s="14"/>
      <c r="E284" s="14"/>
      <c r="F284" s="14"/>
      <c r="G284" s="14"/>
      <c r="H284" s="14"/>
    </row>
    <row r="285">
      <c r="C285" s="14"/>
      <c r="D285" s="14"/>
      <c r="E285" s="14"/>
      <c r="F285" s="14"/>
      <c r="G285" s="14"/>
      <c r="H285" s="14"/>
    </row>
    <row r="286">
      <c r="C286" s="14"/>
      <c r="D286" s="14"/>
      <c r="E286" s="14"/>
      <c r="F286" s="14"/>
      <c r="G286" s="14"/>
      <c r="H286" s="14"/>
    </row>
    <row r="287">
      <c r="C287" s="14"/>
      <c r="D287" s="14"/>
      <c r="E287" s="14"/>
      <c r="F287" s="14"/>
      <c r="G287" s="14"/>
      <c r="H287" s="14"/>
    </row>
    <row r="288">
      <c r="C288" s="14"/>
      <c r="D288" s="14"/>
      <c r="E288" s="14"/>
      <c r="F288" s="14"/>
      <c r="G288" s="14"/>
      <c r="H288" s="14"/>
    </row>
    <row r="289">
      <c r="C289" s="14"/>
      <c r="D289" s="14"/>
      <c r="E289" s="14"/>
      <c r="F289" s="14"/>
      <c r="G289" s="14"/>
      <c r="H289" s="14"/>
    </row>
    <row r="290">
      <c r="C290" s="14"/>
      <c r="D290" s="14"/>
      <c r="E290" s="14"/>
      <c r="F290" s="14"/>
      <c r="G290" s="14"/>
      <c r="H290" s="14"/>
    </row>
    <row r="291">
      <c r="C291" s="14"/>
      <c r="D291" s="14"/>
      <c r="E291" s="14"/>
      <c r="F291" s="14"/>
      <c r="G291" s="14"/>
      <c r="H291" s="14"/>
    </row>
    <row r="292">
      <c r="C292" s="14"/>
      <c r="D292" s="14"/>
      <c r="E292" s="14"/>
      <c r="F292" s="14"/>
      <c r="G292" s="14"/>
      <c r="H292" s="14"/>
    </row>
    <row r="293">
      <c r="C293" s="14"/>
      <c r="D293" s="14"/>
      <c r="E293" s="14"/>
      <c r="F293" s="14"/>
      <c r="G293" s="14"/>
      <c r="H293" s="14"/>
    </row>
    <row r="294">
      <c r="C294" s="14"/>
      <c r="D294" s="14"/>
      <c r="E294" s="14"/>
      <c r="F294" s="14"/>
      <c r="G294" s="14"/>
      <c r="H294" s="14"/>
    </row>
    <row r="295">
      <c r="C295" s="14"/>
      <c r="D295" s="14"/>
      <c r="E295" s="14"/>
      <c r="F295" s="14"/>
      <c r="G295" s="14"/>
      <c r="H295" s="14"/>
    </row>
    <row r="296">
      <c r="C296" s="14"/>
      <c r="D296" s="14"/>
      <c r="E296" s="14"/>
      <c r="F296" s="14"/>
      <c r="G296" s="14"/>
      <c r="H296" s="14"/>
    </row>
    <row r="297">
      <c r="C297" s="14"/>
      <c r="D297" s="14"/>
      <c r="E297" s="14"/>
      <c r="F297" s="14"/>
      <c r="G297" s="14"/>
      <c r="H297" s="14"/>
    </row>
    <row r="298">
      <c r="C298" s="14"/>
      <c r="D298" s="14"/>
      <c r="E298" s="14"/>
      <c r="F298" s="14"/>
      <c r="G298" s="14"/>
      <c r="H298" s="14"/>
    </row>
    <row r="299">
      <c r="C299" s="14"/>
      <c r="D299" s="14"/>
      <c r="E299" s="14"/>
      <c r="F299" s="14"/>
      <c r="G299" s="14"/>
      <c r="H299" s="14"/>
    </row>
    <row r="300">
      <c r="C300" s="14"/>
      <c r="D300" s="14"/>
      <c r="E300" s="14"/>
      <c r="F300" s="14"/>
      <c r="G300" s="14"/>
      <c r="H300" s="14"/>
    </row>
    <row r="301">
      <c r="C301" s="14"/>
      <c r="D301" s="14"/>
      <c r="E301" s="14"/>
      <c r="F301" s="14"/>
      <c r="G301" s="14"/>
      <c r="H301" s="14"/>
    </row>
    <row r="302">
      <c r="C302" s="14"/>
      <c r="D302" s="14"/>
      <c r="E302" s="14"/>
      <c r="F302" s="14"/>
      <c r="G302" s="14"/>
      <c r="H302" s="14"/>
    </row>
    <row r="303">
      <c r="C303" s="14"/>
      <c r="D303" s="14"/>
      <c r="E303" s="14"/>
      <c r="F303" s="14"/>
      <c r="G303" s="14"/>
      <c r="H303" s="14"/>
    </row>
    <row r="304">
      <c r="C304" s="14"/>
      <c r="D304" s="14"/>
      <c r="E304" s="14"/>
      <c r="F304" s="14"/>
      <c r="G304" s="14"/>
      <c r="H304" s="14"/>
    </row>
    <row r="305">
      <c r="C305" s="14"/>
      <c r="D305" s="14"/>
      <c r="E305" s="14"/>
      <c r="F305" s="14"/>
      <c r="G305" s="14"/>
      <c r="H305" s="14"/>
    </row>
    <row r="306">
      <c r="C306" s="14"/>
      <c r="D306" s="14"/>
      <c r="E306" s="14"/>
      <c r="F306" s="14"/>
      <c r="G306" s="14"/>
      <c r="H306" s="14"/>
    </row>
    <row r="307">
      <c r="C307" s="14"/>
      <c r="D307" s="14"/>
      <c r="E307" s="14"/>
      <c r="F307" s="14"/>
      <c r="G307" s="14"/>
      <c r="H307" s="14"/>
    </row>
    <row r="308">
      <c r="C308" s="14"/>
      <c r="D308" s="14"/>
      <c r="E308" s="14"/>
      <c r="F308" s="14"/>
      <c r="G308" s="14"/>
      <c r="H308" s="14"/>
    </row>
    <row r="309">
      <c r="C309" s="14"/>
      <c r="D309" s="14"/>
      <c r="E309" s="14"/>
      <c r="F309" s="14"/>
      <c r="G309" s="14"/>
      <c r="H309" s="14"/>
    </row>
    <row r="310">
      <c r="C310" s="14"/>
      <c r="D310" s="14"/>
      <c r="E310" s="14"/>
      <c r="F310" s="14"/>
      <c r="G310" s="14"/>
      <c r="H310" s="14"/>
    </row>
    <row r="311">
      <c r="C311" s="14"/>
      <c r="D311" s="14"/>
      <c r="E311" s="14"/>
      <c r="F311" s="14"/>
      <c r="G311" s="14"/>
      <c r="H311" s="14"/>
    </row>
    <row r="312">
      <c r="C312" s="14"/>
      <c r="D312" s="14"/>
      <c r="E312" s="14"/>
      <c r="F312" s="14"/>
      <c r="G312" s="14"/>
      <c r="H312" s="14"/>
    </row>
    <row r="313">
      <c r="C313" s="14"/>
      <c r="D313" s="14"/>
      <c r="E313" s="14"/>
      <c r="F313" s="14"/>
      <c r="G313" s="14"/>
      <c r="H313" s="14"/>
    </row>
    <row r="314">
      <c r="C314" s="14"/>
      <c r="D314" s="14"/>
      <c r="E314" s="14"/>
      <c r="F314" s="14"/>
      <c r="G314" s="14"/>
      <c r="H314" s="14"/>
    </row>
    <row r="315">
      <c r="C315" s="14"/>
      <c r="D315" s="14"/>
      <c r="E315" s="14"/>
      <c r="F315" s="14"/>
      <c r="G315" s="14"/>
      <c r="H315" s="14"/>
    </row>
    <row r="316">
      <c r="C316" s="14"/>
      <c r="D316" s="14"/>
      <c r="E316" s="14"/>
      <c r="F316" s="14"/>
      <c r="G316" s="14"/>
      <c r="H316" s="14"/>
    </row>
    <row r="317">
      <c r="C317" s="14"/>
      <c r="D317" s="14"/>
      <c r="E317" s="14"/>
      <c r="F317" s="14"/>
      <c r="G317" s="14"/>
      <c r="H317" s="14"/>
    </row>
    <row r="318">
      <c r="C318" s="14"/>
      <c r="D318" s="14"/>
      <c r="E318" s="14"/>
      <c r="F318" s="14"/>
      <c r="G318" s="14"/>
      <c r="H318" s="14"/>
    </row>
    <row r="319">
      <c r="C319" s="14"/>
      <c r="D319" s="14"/>
      <c r="E319" s="14"/>
      <c r="F319" s="14"/>
      <c r="G319" s="14"/>
      <c r="H319" s="14"/>
    </row>
    <row r="320">
      <c r="C320" s="14"/>
      <c r="D320" s="14"/>
      <c r="E320" s="14"/>
      <c r="F320" s="14"/>
      <c r="G320" s="14"/>
      <c r="H320" s="14"/>
    </row>
    <row r="321">
      <c r="C321" s="14"/>
      <c r="D321" s="14"/>
      <c r="E321" s="14"/>
      <c r="F321" s="14"/>
      <c r="G321" s="14"/>
      <c r="H321" s="14"/>
    </row>
    <row r="322">
      <c r="C322" s="14"/>
      <c r="D322" s="14"/>
      <c r="E322" s="14"/>
      <c r="F322" s="14"/>
      <c r="G322" s="14"/>
      <c r="H322" s="14"/>
    </row>
    <row r="323">
      <c r="C323" s="14"/>
      <c r="D323" s="14"/>
      <c r="E323" s="14"/>
      <c r="F323" s="14"/>
      <c r="G323" s="14"/>
      <c r="H323" s="14"/>
    </row>
    <row r="324">
      <c r="C324" s="14"/>
      <c r="D324" s="14"/>
      <c r="E324" s="14"/>
      <c r="F324" s="14"/>
      <c r="G324" s="14"/>
      <c r="H324" s="14"/>
    </row>
    <row r="325">
      <c r="C325" s="14"/>
      <c r="D325" s="14"/>
      <c r="E325" s="14"/>
      <c r="F325" s="14"/>
      <c r="G325" s="14"/>
      <c r="H325" s="14"/>
    </row>
    <row r="326">
      <c r="C326" s="14"/>
      <c r="D326" s="14"/>
      <c r="E326" s="14"/>
      <c r="F326" s="14"/>
      <c r="G326" s="14"/>
      <c r="H326" s="14"/>
    </row>
    <row r="327">
      <c r="C327" s="14"/>
      <c r="D327" s="14"/>
      <c r="E327" s="14"/>
      <c r="F327" s="14"/>
      <c r="G327" s="14"/>
      <c r="H327" s="14"/>
    </row>
    <row r="328">
      <c r="C328" s="14"/>
      <c r="D328" s="14"/>
      <c r="E328" s="14"/>
      <c r="F328" s="14"/>
      <c r="G328" s="14"/>
      <c r="H328" s="14"/>
    </row>
    <row r="329">
      <c r="C329" s="14"/>
      <c r="D329" s="14"/>
      <c r="E329" s="14"/>
      <c r="F329" s="14"/>
      <c r="G329" s="14"/>
      <c r="H329" s="14"/>
    </row>
    <row r="330">
      <c r="C330" s="14"/>
      <c r="D330" s="14"/>
      <c r="E330" s="14"/>
      <c r="F330" s="14"/>
      <c r="G330" s="14"/>
      <c r="H330" s="14"/>
    </row>
    <row r="331">
      <c r="C331" s="14"/>
      <c r="D331" s="14"/>
      <c r="E331" s="14"/>
      <c r="F331" s="14"/>
      <c r="G331" s="14"/>
      <c r="H331" s="14"/>
    </row>
    <row r="332">
      <c r="C332" s="14"/>
      <c r="D332" s="14"/>
      <c r="E332" s="14"/>
      <c r="F332" s="14"/>
      <c r="G332" s="14"/>
      <c r="H332" s="14"/>
    </row>
    <row r="333">
      <c r="C333" s="14"/>
      <c r="D333" s="14"/>
      <c r="E333" s="14"/>
      <c r="F333" s="14"/>
      <c r="G333" s="14"/>
      <c r="H333" s="14"/>
    </row>
    <row r="334">
      <c r="C334" s="14"/>
      <c r="D334" s="14"/>
      <c r="E334" s="14"/>
      <c r="F334" s="14"/>
      <c r="G334" s="14"/>
      <c r="H334" s="14"/>
    </row>
    <row r="335">
      <c r="C335" s="14"/>
      <c r="D335" s="14"/>
      <c r="E335" s="14"/>
      <c r="F335" s="14"/>
      <c r="G335" s="14"/>
      <c r="H335" s="14"/>
    </row>
    <row r="336">
      <c r="C336" s="14"/>
      <c r="D336" s="14"/>
      <c r="E336" s="14"/>
      <c r="F336" s="14"/>
      <c r="G336" s="14"/>
      <c r="H336" s="14"/>
    </row>
    <row r="337">
      <c r="C337" s="14"/>
      <c r="D337" s="14"/>
      <c r="E337" s="14"/>
      <c r="F337" s="14"/>
      <c r="G337" s="14"/>
      <c r="H337" s="14"/>
    </row>
    <row r="338">
      <c r="C338" s="14"/>
      <c r="D338" s="14"/>
      <c r="E338" s="14"/>
      <c r="F338" s="14"/>
      <c r="G338" s="14"/>
      <c r="H338" s="14"/>
    </row>
    <row r="339">
      <c r="C339" s="14"/>
      <c r="D339" s="14"/>
      <c r="E339" s="14"/>
      <c r="F339" s="14"/>
      <c r="G339" s="14"/>
      <c r="H339" s="14"/>
    </row>
    <row r="340">
      <c r="C340" s="14"/>
      <c r="D340" s="14"/>
      <c r="E340" s="14"/>
      <c r="F340" s="14"/>
      <c r="G340" s="14"/>
      <c r="H340" s="14"/>
    </row>
    <row r="341">
      <c r="C341" s="14"/>
      <c r="D341" s="14"/>
      <c r="E341" s="14"/>
      <c r="F341" s="14"/>
      <c r="G341" s="14"/>
      <c r="H341" s="14"/>
    </row>
    <row r="342">
      <c r="C342" s="14"/>
      <c r="D342" s="14"/>
      <c r="E342" s="14"/>
      <c r="F342" s="14"/>
      <c r="G342" s="14"/>
      <c r="H342" s="14"/>
    </row>
    <row r="343">
      <c r="C343" s="14"/>
      <c r="D343" s="14"/>
      <c r="E343" s="14"/>
      <c r="F343" s="14"/>
      <c r="G343" s="14"/>
      <c r="H343" s="14"/>
    </row>
    <row r="344">
      <c r="C344" s="14"/>
      <c r="D344" s="14"/>
      <c r="E344" s="14"/>
      <c r="F344" s="14"/>
      <c r="G344" s="14"/>
      <c r="H344" s="14"/>
    </row>
    <row r="345">
      <c r="C345" s="14"/>
      <c r="D345" s="14"/>
      <c r="E345" s="14"/>
      <c r="F345" s="14"/>
      <c r="G345" s="14"/>
      <c r="H345" s="14"/>
    </row>
    <row r="346">
      <c r="C346" s="14"/>
      <c r="D346" s="14"/>
      <c r="E346" s="14"/>
      <c r="F346" s="14"/>
      <c r="G346" s="14"/>
      <c r="H346" s="14"/>
    </row>
    <row r="347">
      <c r="C347" s="14"/>
      <c r="D347" s="14"/>
      <c r="E347" s="14"/>
      <c r="F347" s="14"/>
      <c r="G347" s="14"/>
      <c r="H347" s="14"/>
    </row>
    <row r="348">
      <c r="C348" s="14"/>
      <c r="D348" s="14"/>
      <c r="E348" s="14"/>
      <c r="F348" s="14"/>
      <c r="G348" s="14"/>
      <c r="H348" s="14"/>
    </row>
    <row r="349">
      <c r="C349" s="14"/>
      <c r="D349" s="14"/>
      <c r="E349" s="14"/>
      <c r="F349" s="14"/>
      <c r="G349" s="14"/>
      <c r="H349" s="14"/>
    </row>
    <row r="350">
      <c r="C350" s="14"/>
      <c r="D350" s="14"/>
      <c r="E350" s="14"/>
      <c r="F350" s="14"/>
      <c r="G350" s="14"/>
      <c r="H350" s="14"/>
    </row>
    <row r="351">
      <c r="C351" s="14"/>
      <c r="D351" s="14"/>
      <c r="E351" s="14"/>
      <c r="F351" s="14"/>
      <c r="G351" s="14"/>
      <c r="H351" s="14"/>
    </row>
    <row r="352">
      <c r="C352" s="14"/>
      <c r="D352" s="14"/>
      <c r="E352" s="14"/>
      <c r="F352" s="14"/>
      <c r="G352" s="14"/>
      <c r="H352" s="14"/>
    </row>
    <row r="353">
      <c r="C353" s="14"/>
      <c r="D353" s="14"/>
      <c r="E353" s="14"/>
      <c r="F353" s="14"/>
      <c r="G353" s="14"/>
      <c r="H353" s="14"/>
    </row>
    <row r="354">
      <c r="C354" s="14"/>
      <c r="D354" s="14"/>
      <c r="E354" s="14"/>
      <c r="F354" s="14"/>
      <c r="G354" s="14"/>
      <c r="H354" s="14"/>
    </row>
    <row r="355">
      <c r="C355" s="14"/>
      <c r="D355" s="14"/>
      <c r="E355" s="14"/>
      <c r="F355" s="14"/>
      <c r="G355" s="14"/>
      <c r="H355" s="14"/>
    </row>
    <row r="356">
      <c r="C356" s="14"/>
      <c r="D356" s="14"/>
      <c r="E356" s="14"/>
      <c r="F356" s="14"/>
      <c r="G356" s="14"/>
      <c r="H356" s="14"/>
    </row>
    <row r="357">
      <c r="C357" s="14"/>
      <c r="D357" s="14"/>
      <c r="E357" s="14"/>
      <c r="F357" s="14"/>
      <c r="G357" s="14"/>
      <c r="H357" s="14"/>
    </row>
    <row r="358">
      <c r="C358" s="14"/>
      <c r="D358" s="14"/>
      <c r="E358" s="14"/>
      <c r="F358" s="14"/>
      <c r="G358" s="14"/>
      <c r="H358" s="14"/>
    </row>
    <row r="359">
      <c r="C359" s="14"/>
      <c r="D359" s="14"/>
      <c r="E359" s="14"/>
      <c r="F359" s="14"/>
      <c r="G359" s="14"/>
      <c r="H359" s="14"/>
    </row>
    <row r="360">
      <c r="C360" s="14"/>
      <c r="D360" s="14"/>
      <c r="E360" s="14"/>
      <c r="F360" s="14"/>
      <c r="G360" s="14"/>
      <c r="H360" s="14"/>
    </row>
    <row r="361">
      <c r="C361" s="14"/>
      <c r="D361" s="14"/>
      <c r="E361" s="14"/>
      <c r="F361" s="14"/>
      <c r="G361" s="14"/>
      <c r="H361" s="14"/>
    </row>
    <row r="362">
      <c r="C362" s="14"/>
      <c r="D362" s="14"/>
      <c r="E362" s="14"/>
      <c r="F362" s="14"/>
      <c r="G362" s="14"/>
      <c r="H362" s="14"/>
    </row>
    <row r="363">
      <c r="C363" s="14"/>
      <c r="D363" s="14"/>
      <c r="E363" s="14"/>
      <c r="F363" s="14"/>
      <c r="G363" s="14"/>
      <c r="H363" s="14"/>
    </row>
    <row r="364">
      <c r="C364" s="14"/>
      <c r="D364" s="14"/>
      <c r="E364" s="14"/>
      <c r="F364" s="14"/>
      <c r="G364" s="14"/>
      <c r="H364" s="14"/>
    </row>
    <row r="365">
      <c r="C365" s="14"/>
      <c r="D365" s="14"/>
      <c r="E365" s="14"/>
      <c r="F365" s="14"/>
      <c r="G365" s="14"/>
      <c r="H365" s="14"/>
    </row>
    <row r="366">
      <c r="C366" s="14"/>
      <c r="D366" s="14"/>
      <c r="E366" s="14"/>
      <c r="F366" s="14"/>
      <c r="G366" s="14"/>
      <c r="H366" s="14"/>
    </row>
    <row r="367">
      <c r="C367" s="14"/>
      <c r="D367" s="14"/>
      <c r="E367" s="14"/>
      <c r="F367" s="14"/>
      <c r="G367" s="14"/>
      <c r="H367" s="14"/>
    </row>
    <row r="368">
      <c r="C368" s="14"/>
      <c r="D368" s="14"/>
      <c r="E368" s="14"/>
      <c r="F368" s="14"/>
      <c r="G368" s="14"/>
      <c r="H368" s="14"/>
    </row>
    <row r="369">
      <c r="C369" s="14"/>
      <c r="D369" s="14"/>
      <c r="E369" s="14"/>
      <c r="F369" s="14"/>
      <c r="G369" s="14"/>
      <c r="H369" s="14"/>
    </row>
    <row r="370">
      <c r="C370" s="14"/>
      <c r="D370" s="14"/>
      <c r="E370" s="14"/>
      <c r="F370" s="14"/>
      <c r="G370" s="14"/>
      <c r="H370" s="14"/>
    </row>
    <row r="371">
      <c r="C371" s="14"/>
      <c r="D371" s="14"/>
      <c r="E371" s="14"/>
      <c r="F371" s="14"/>
      <c r="G371" s="14"/>
      <c r="H371" s="14"/>
    </row>
    <row r="372">
      <c r="C372" s="14"/>
      <c r="D372" s="14"/>
      <c r="E372" s="14"/>
      <c r="F372" s="14"/>
      <c r="G372" s="14"/>
      <c r="H372" s="14"/>
    </row>
    <row r="373">
      <c r="C373" s="14"/>
      <c r="D373" s="14"/>
      <c r="E373" s="14"/>
      <c r="F373" s="14"/>
      <c r="G373" s="14"/>
      <c r="H373" s="14"/>
    </row>
    <row r="374">
      <c r="C374" s="14"/>
      <c r="D374" s="14"/>
      <c r="E374" s="14"/>
      <c r="F374" s="14"/>
      <c r="G374" s="14"/>
      <c r="H374" s="14"/>
    </row>
    <row r="375">
      <c r="C375" s="14"/>
      <c r="D375" s="14"/>
      <c r="E375" s="14"/>
      <c r="F375" s="14"/>
      <c r="G375" s="14"/>
      <c r="H375" s="14"/>
    </row>
    <row r="376">
      <c r="C376" s="14"/>
      <c r="D376" s="14"/>
      <c r="E376" s="14"/>
      <c r="F376" s="14"/>
      <c r="G376" s="14"/>
      <c r="H376" s="14"/>
    </row>
    <row r="377">
      <c r="C377" s="14"/>
      <c r="D377" s="14"/>
      <c r="E377" s="14"/>
      <c r="F377" s="14"/>
      <c r="G377" s="14"/>
      <c r="H377" s="14"/>
    </row>
    <row r="378">
      <c r="C378" s="14"/>
      <c r="D378" s="14"/>
      <c r="E378" s="14"/>
      <c r="F378" s="14"/>
      <c r="G378" s="14"/>
      <c r="H378" s="14"/>
    </row>
    <row r="379">
      <c r="C379" s="14"/>
      <c r="D379" s="14"/>
      <c r="E379" s="14"/>
      <c r="F379" s="14"/>
      <c r="G379" s="14"/>
      <c r="H379" s="14"/>
    </row>
    <row r="380">
      <c r="C380" s="14"/>
      <c r="D380" s="14"/>
      <c r="E380" s="14"/>
      <c r="F380" s="14"/>
      <c r="G380" s="14"/>
      <c r="H380" s="14"/>
    </row>
    <row r="381">
      <c r="C381" s="14"/>
      <c r="D381" s="14"/>
      <c r="E381" s="14"/>
      <c r="F381" s="14"/>
      <c r="G381" s="14"/>
      <c r="H381" s="14"/>
    </row>
    <row r="382">
      <c r="C382" s="14"/>
      <c r="D382" s="14"/>
      <c r="E382" s="14"/>
      <c r="F382" s="14"/>
      <c r="G382" s="14"/>
      <c r="H382" s="14"/>
    </row>
    <row r="383">
      <c r="C383" s="14"/>
      <c r="D383" s="14"/>
      <c r="E383" s="14"/>
      <c r="F383" s="14"/>
      <c r="G383" s="14"/>
      <c r="H383" s="14"/>
    </row>
    <row r="384">
      <c r="C384" s="14"/>
      <c r="D384" s="14"/>
      <c r="E384" s="14"/>
      <c r="F384" s="14"/>
      <c r="G384" s="14"/>
      <c r="H384" s="14"/>
    </row>
    <row r="385">
      <c r="C385" s="14"/>
      <c r="D385" s="14"/>
      <c r="E385" s="14"/>
      <c r="F385" s="14"/>
      <c r="G385" s="14"/>
      <c r="H385" s="14"/>
    </row>
    <row r="386">
      <c r="C386" s="14"/>
      <c r="D386" s="14"/>
      <c r="E386" s="14"/>
      <c r="F386" s="14"/>
      <c r="G386" s="14"/>
      <c r="H386" s="14"/>
    </row>
    <row r="387">
      <c r="C387" s="14"/>
      <c r="D387" s="14"/>
      <c r="E387" s="14"/>
      <c r="F387" s="14"/>
      <c r="G387" s="14"/>
      <c r="H387" s="14"/>
    </row>
    <row r="388">
      <c r="C388" s="14"/>
      <c r="D388" s="14"/>
      <c r="E388" s="14"/>
      <c r="F388" s="14"/>
      <c r="G388" s="14"/>
      <c r="H388" s="14"/>
    </row>
    <row r="389">
      <c r="C389" s="14"/>
      <c r="D389" s="14"/>
      <c r="E389" s="14"/>
      <c r="F389" s="14"/>
      <c r="G389" s="14"/>
      <c r="H389" s="14"/>
    </row>
    <row r="390">
      <c r="C390" s="14"/>
      <c r="D390" s="14"/>
      <c r="E390" s="14"/>
      <c r="F390" s="14"/>
      <c r="G390" s="14"/>
      <c r="H390" s="14"/>
    </row>
    <row r="391">
      <c r="C391" s="14"/>
      <c r="D391" s="14"/>
      <c r="E391" s="14"/>
      <c r="F391" s="14"/>
      <c r="G391" s="14"/>
      <c r="H391" s="14"/>
    </row>
    <row r="392">
      <c r="C392" s="14"/>
      <c r="D392" s="14"/>
      <c r="E392" s="14"/>
      <c r="F392" s="14"/>
      <c r="G392" s="14"/>
      <c r="H392" s="14"/>
    </row>
    <row r="393">
      <c r="C393" s="14"/>
      <c r="D393" s="14"/>
      <c r="E393" s="14"/>
      <c r="F393" s="14"/>
      <c r="G393" s="14"/>
      <c r="H393" s="14"/>
    </row>
    <row r="394">
      <c r="C394" s="14"/>
      <c r="D394" s="14"/>
      <c r="E394" s="14"/>
      <c r="F394" s="14"/>
      <c r="G394" s="14"/>
      <c r="H394" s="14"/>
    </row>
    <row r="395">
      <c r="C395" s="14"/>
      <c r="D395" s="14"/>
      <c r="E395" s="14"/>
      <c r="F395" s="14"/>
      <c r="G395" s="14"/>
      <c r="H395" s="14"/>
    </row>
    <row r="396">
      <c r="C396" s="14"/>
      <c r="D396" s="14"/>
      <c r="E396" s="14"/>
      <c r="F396" s="14"/>
      <c r="G396" s="14"/>
      <c r="H396" s="14"/>
    </row>
    <row r="397">
      <c r="C397" s="14"/>
      <c r="D397" s="14"/>
      <c r="E397" s="14"/>
      <c r="F397" s="14"/>
      <c r="G397" s="14"/>
      <c r="H397" s="14"/>
    </row>
    <row r="398">
      <c r="C398" s="14"/>
      <c r="D398" s="14"/>
      <c r="E398" s="14"/>
      <c r="F398" s="14"/>
      <c r="G398" s="14"/>
      <c r="H398" s="14"/>
    </row>
    <row r="399">
      <c r="C399" s="14"/>
      <c r="D399" s="14"/>
      <c r="E399" s="14"/>
      <c r="F399" s="14"/>
      <c r="G399" s="14"/>
      <c r="H399" s="14"/>
    </row>
    <row r="400">
      <c r="C400" s="14"/>
      <c r="D400" s="14"/>
      <c r="E400" s="14"/>
      <c r="F400" s="14"/>
      <c r="G400" s="14"/>
      <c r="H400" s="14"/>
    </row>
    <row r="401">
      <c r="C401" s="14"/>
      <c r="D401" s="14"/>
      <c r="E401" s="14"/>
      <c r="F401" s="14"/>
      <c r="G401" s="14"/>
      <c r="H401" s="14"/>
    </row>
    <row r="402">
      <c r="C402" s="14"/>
      <c r="D402" s="14"/>
      <c r="E402" s="14"/>
      <c r="F402" s="14"/>
      <c r="G402" s="14"/>
      <c r="H402" s="14"/>
    </row>
    <row r="403">
      <c r="C403" s="14"/>
      <c r="D403" s="14"/>
      <c r="E403" s="14"/>
      <c r="F403" s="14"/>
      <c r="G403" s="14"/>
      <c r="H403" s="14"/>
    </row>
    <row r="404">
      <c r="C404" s="14"/>
      <c r="D404" s="14"/>
      <c r="E404" s="14"/>
      <c r="F404" s="14"/>
      <c r="G404" s="14"/>
      <c r="H404" s="14"/>
    </row>
    <row r="405">
      <c r="C405" s="14"/>
      <c r="D405" s="14"/>
      <c r="E405" s="14"/>
      <c r="F405" s="14"/>
      <c r="G405" s="14"/>
      <c r="H405" s="14"/>
    </row>
    <row r="406">
      <c r="C406" s="14"/>
      <c r="D406" s="14"/>
      <c r="E406" s="14"/>
      <c r="F406" s="14"/>
      <c r="G406" s="14"/>
      <c r="H406" s="14"/>
    </row>
    <row r="407">
      <c r="C407" s="14"/>
      <c r="D407" s="14"/>
      <c r="E407" s="14"/>
      <c r="F407" s="14"/>
      <c r="G407" s="14"/>
      <c r="H407" s="14"/>
    </row>
    <row r="408">
      <c r="C408" s="14"/>
      <c r="D408" s="14"/>
      <c r="E408" s="14"/>
      <c r="F408" s="14"/>
      <c r="G408" s="14"/>
      <c r="H408" s="14"/>
    </row>
    <row r="409">
      <c r="C409" s="14"/>
      <c r="D409" s="14"/>
      <c r="E409" s="14"/>
      <c r="F409" s="14"/>
      <c r="G409" s="14"/>
      <c r="H409" s="14"/>
    </row>
    <row r="410">
      <c r="C410" s="14"/>
      <c r="D410" s="14"/>
      <c r="E410" s="14"/>
      <c r="F410" s="14"/>
      <c r="G410" s="14"/>
      <c r="H410" s="14"/>
    </row>
    <row r="411">
      <c r="C411" s="14"/>
      <c r="D411" s="14"/>
      <c r="E411" s="14"/>
      <c r="F411" s="14"/>
      <c r="G411" s="14"/>
      <c r="H411" s="14"/>
    </row>
    <row r="412">
      <c r="C412" s="14"/>
      <c r="D412" s="14"/>
      <c r="E412" s="14"/>
      <c r="F412" s="14"/>
      <c r="G412" s="14"/>
      <c r="H412" s="14"/>
    </row>
    <row r="413">
      <c r="C413" s="14"/>
      <c r="D413" s="14"/>
      <c r="E413" s="14"/>
      <c r="F413" s="14"/>
      <c r="G413" s="14"/>
      <c r="H413" s="14"/>
    </row>
    <row r="414">
      <c r="C414" s="14"/>
      <c r="D414" s="14"/>
      <c r="E414" s="14"/>
      <c r="F414" s="14"/>
      <c r="G414" s="14"/>
      <c r="H414" s="14"/>
    </row>
    <row r="415">
      <c r="C415" s="14"/>
      <c r="D415" s="14"/>
      <c r="E415" s="14"/>
      <c r="F415" s="14"/>
      <c r="G415" s="14"/>
      <c r="H415" s="14"/>
    </row>
    <row r="416">
      <c r="C416" s="14"/>
      <c r="D416" s="14"/>
      <c r="E416" s="14"/>
      <c r="F416" s="14"/>
      <c r="G416" s="14"/>
      <c r="H416" s="14"/>
    </row>
    <row r="417">
      <c r="C417" s="14"/>
      <c r="D417" s="14"/>
      <c r="E417" s="14"/>
      <c r="F417" s="14"/>
      <c r="G417" s="14"/>
      <c r="H417" s="14"/>
    </row>
    <row r="418">
      <c r="C418" s="14"/>
      <c r="D418" s="14"/>
      <c r="E418" s="14"/>
      <c r="F418" s="14"/>
      <c r="G418" s="14"/>
      <c r="H418" s="14"/>
    </row>
    <row r="419">
      <c r="C419" s="14"/>
      <c r="D419" s="14"/>
      <c r="E419" s="14"/>
      <c r="F419" s="14"/>
      <c r="G419" s="14"/>
      <c r="H419" s="14"/>
    </row>
    <row r="420">
      <c r="C420" s="14"/>
      <c r="D420" s="14"/>
      <c r="E420" s="14"/>
      <c r="F420" s="14"/>
      <c r="G420" s="14"/>
      <c r="H420" s="14"/>
    </row>
    <row r="421">
      <c r="C421" s="14"/>
      <c r="D421" s="14"/>
      <c r="E421" s="14"/>
      <c r="F421" s="14"/>
      <c r="G421" s="14"/>
      <c r="H421" s="14"/>
    </row>
    <row r="422">
      <c r="C422" s="14"/>
      <c r="D422" s="14"/>
      <c r="E422" s="14"/>
      <c r="F422" s="14"/>
      <c r="G422" s="14"/>
      <c r="H422" s="14"/>
    </row>
    <row r="423">
      <c r="C423" s="14"/>
      <c r="D423" s="14"/>
      <c r="E423" s="14"/>
      <c r="F423" s="14"/>
      <c r="G423" s="14"/>
      <c r="H423" s="14"/>
    </row>
    <row r="424">
      <c r="C424" s="14"/>
      <c r="D424" s="14"/>
      <c r="E424" s="14"/>
      <c r="F424" s="14"/>
      <c r="G424" s="14"/>
      <c r="H424" s="14"/>
    </row>
    <row r="425">
      <c r="C425" s="14"/>
      <c r="D425" s="14"/>
      <c r="E425" s="14"/>
      <c r="F425" s="14"/>
      <c r="G425" s="14"/>
      <c r="H425" s="14"/>
    </row>
    <row r="426">
      <c r="C426" s="14"/>
      <c r="D426" s="14"/>
      <c r="E426" s="14"/>
      <c r="F426" s="14"/>
      <c r="G426" s="14"/>
      <c r="H426" s="14"/>
    </row>
    <row r="427">
      <c r="C427" s="14"/>
      <c r="D427" s="14"/>
      <c r="E427" s="14"/>
      <c r="F427" s="14"/>
      <c r="G427" s="14"/>
      <c r="H427" s="14"/>
    </row>
    <row r="428">
      <c r="C428" s="14"/>
      <c r="D428" s="14"/>
      <c r="E428" s="14"/>
      <c r="F428" s="14"/>
      <c r="G428" s="14"/>
      <c r="H428" s="14"/>
    </row>
    <row r="429">
      <c r="C429" s="14"/>
      <c r="D429" s="14"/>
      <c r="E429" s="14"/>
      <c r="F429" s="14"/>
      <c r="G429" s="14"/>
      <c r="H429" s="14"/>
    </row>
    <row r="430">
      <c r="C430" s="14"/>
      <c r="D430" s="14"/>
      <c r="E430" s="14"/>
      <c r="F430" s="14"/>
      <c r="G430" s="14"/>
      <c r="H430" s="14"/>
    </row>
    <row r="431">
      <c r="C431" s="14"/>
      <c r="D431" s="14"/>
      <c r="E431" s="14"/>
      <c r="F431" s="14"/>
      <c r="G431" s="14"/>
      <c r="H431" s="14"/>
    </row>
    <row r="432">
      <c r="C432" s="14"/>
      <c r="D432" s="14"/>
      <c r="E432" s="14"/>
      <c r="F432" s="14"/>
      <c r="G432" s="14"/>
      <c r="H432" s="14"/>
    </row>
    <row r="433">
      <c r="C433" s="14"/>
      <c r="D433" s="14"/>
      <c r="E433" s="14"/>
      <c r="F433" s="14"/>
      <c r="G433" s="14"/>
      <c r="H433" s="14"/>
    </row>
    <row r="434">
      <c r="C434" s="14"/>
      <c r="D434" s="14"/>
      <c r="E434" s="14"/>
      <c r="F434" s="14"/>
      <c r="G434" s="14"/>
      <c r="H434" s="14"/>
    </row>
    <row r="435">
      <c r="C435" s="14"/>
      <c r="D435" s="14"/>
      <c r="E435" s="14"/>
      <c r="F435" s="14"/>
      <c r="G435" s="14"/>
      <c r="H435" s="14"/>
    </row>
    <row r="436">
      <c r="C436" s="14"/>
      <c r="D436" s="14"/>
      <c r="E436" s="14"/>
      <c r="F436" s="14"/>
      <c r="G436" s="14"/>
      <c r="H436" s="14"/>
    </row>
    <row r="437">
      <c r="C437" s="14"/>
      <c r="D437" s="14"/>
      <c r="E437" s="14"/>
      <c r="F437" s="14"/>
      <c r="G437" s="14"/>
      <c r="H437" s="14"/>
    </row>
    <row r="438">
      <c r="C438" s="14"/>
      <c r="D438" s="14"/>
      <c r="E438" s="14"/>
      <c r="F438" s="14"/>
      <c r="G438" s="14"/>
      <c r="H438" s="14"/>
    </row>
    <row r="439">
      <c r="C439" s="14"/>
      <c r="D439" s="14"/>
      <c r="E439" s="14"/>
      <c r="F439" s="14"/>
      <c r="G439" s="14"/>
      <c r="H439" s="14"/>
    </row>
    <row r="440">
      <c r="C440" s="14"/>
      <c r="D440" s="14"/>
      <c r="E440" s="14"/>
      <c r="F440" s="14"/>
      <c r="G440" s="14"/>
      <c r="H440" s="14"/>
    </row>
    <row r="441">
      <c r="C441" s="14"/>
      <c r="D441" s="14"/>
      <c r="E441" s="14"/>
      <c r="F441" s="14"/>
      <c r="G441" s="14"/>
      <c r="H441" s="14"/>
    </row>
    <row r="442">
      <c r="C442" s="14"/>
      <c r="D442" s="14"/>
      <c r="E442" s="14"/>
      <c r="F442" s="14"/>
      <c r="G442" s="14"/>
      <c r="H442" s="14"/>
    </row>
    <row r="443">
      <c r="C443" s="14"/>
      <c r="D443" s="14"/>
      <c r="E443" s="14"/>
      <c r="F443" s="14"/>
      <c r="G443" s="14"/>
      <c r="H443" s="14"/>
    </row>
    <row r="444">
      <c r="C444" s="14"/>
      <c r="D444" s="14"/>
      <c r="E444" s="14"/>
      <c r="F444" s="14"/>
      <c r="G444" s="14"/>
      <c r="H444" s="14"/>
    </row>
    <row r="445">
      <c r="C445" s="14"/>
      <c r="D445" s="14"/>
      <c r="E445" s="14"/>
      <c r="F445" s="14"/>
      <c r="G445" s="14"/>
      <c r="H445" s="14"/>
    </row>
    <row r="446">
      <c r="C446" s="14"/>
      <c r="D446" s="14"/>
      <c r="E446" s="14"/>
      <c r="F446" s="14"/>
      <c r="G446" s="14"/>
      <c r="H446" s="14"/>
    </row>
    <row r="447">
      <c r="C447" s="14"/>
      <c r="D447" s="14"/>
      <c r="E447" s="14"/>
      <c r="F447" s="14"/>
      <c r="G447" s="14"/>
      <c r="H447" s="14"/>
    </row>
    <row r="448">
      <c r="C448" s="14"/>
      <c r="D448" s="14"/>
      <c r="E448" s="14"/>
      <c r="F448" s="14"/>
      <c r="G448" s="14"/>
      <c r="H448" s="14"/>
    </row>
    <row r="449">
      <c r="C449" s="14"/>
      <c r="D449" s="14"/>
      <c r="E449" s="14"/>
      <c r="F449" s="14"/>
      <c r="G449" s="14"/>
      <c r="H449" s="14"/>
    </row>
    <row r="450">
      <c r="C450" s="14"/>
      <c r="D450" s="14"/>
      <c r="E450" s="14"/>
      <c r="F450" s="14"/>
      <c r="G450" s="14"/>
      <c r="H450" s="14"/>
    </row>
    <row r="451">
      <c r="C451" s="14"/>
      <c r="D451" s="14"/>
      <c r="E451" s="14"/>
      <c r="F451" s="14"/>
      <c r="G451" s="14"/>
      <c r="H451" s="14"/>
    </row>
    <row r="452">
      <c r="C452" s="14"/>
      <c r="D452" s="14"/>
      <c r="E452" s="14"/>
      <c r="F452" s="14"/>
      <c r="G452" s="14"/>
      <c r="H452" s="14"/>
    </row>
    <row r="453">
      <c r="C453" s="14"/>
      <c r="D453" s="14"/>
      <c r="E453" s="14"/>
      <c r="F453" s="14"/>
      <c r="G453" s="14"/>
      <c r="H453" s="14"/>
    </row>
    <row r="454">
      <c r="C454" s="14"/>
      <c r="D454" s="14"/>
      <c r="E454" s="14"/>
      <c r="F454" s="14"/>
      <c r="G454" s="14"/>
      <c r="H454" s="14"/>
    </row>
    <row r="455">
      <c r="C455" s="14"/>
      <c r="D455" s="14"/>
      <c r="E455" s="14"/>
      <c r="F455" s="14"/>
      <c r="G455" s="14"/>
      <c r="H455" s="14"/>
    </row>
    <row r="456">
      <c r="C456" s="14"/>
      <c r="D456" s="14"/>
      <c r="E456" s="14"/>
      <c r="F456" s="14"/>
      <c r="G456" s="14"/>
      <c r="H456" s="14"/>
    </row>
    <row r="457">
      <c r="C457" s="14"/>
      <c r="D457" s="14"/>
      <c r="E457" s="14"/>
      <c r="F457" s="14"/>
      <c r="G457" s="14"/>
      <c r="H457" s="14"/>
    </row>
    <row r="458">
      <c r="C458" s="14"/>
      <c r="D458" s="14"/>
      <c r="E458" s="14"/>
      <c r="F458" s="14"/>
      <c r="G458" s="14"/>
      <c r="H458" s="14"/>
    </row>
    <row r="459">
      <c r="C459" s="14"/>
      <c r="D459" s="14"/>
      <c r="E459" s="14"/>
      <c r="F459" s="14"/>
      <c r="G459" s="14"/>
      <c r="H459" s="14"/>
    </row>
    <row r="460">
      <c r="C460" s="14"/>
      <c r="D460" s="14"/>
      <c r="E460" s="14"/>
      <c r="F460" s="14"/>
      <c r="G460" s="14"/>
      <c r="H460" s="14"/>
    </row>
    <row r="461">
      <c r="C461" s="14"/>
      <c r="D461" s="14"/>
      <c r="E461" s="14"/>
      <c r="F461" s="14"/>
      <c r="G461" s="14"/>
      <c r="H461" s="14"/>
    </row>
    <row r="462">
      <c r="C462" s="14"/>
      <c r="D462" s="14"/>
      <c r="E462" s="14"/>
      <c r="F462" s="14"/>
      <c r="G462" s="14"/>
      <c r="H462" s="14"/>
    </row>
    <row r="463">
      <c r="C463" s="14"/>
      <c r="D463" s="14"/>
      <c r="E463" s="14"/>
      <c r="F463" s="14"/>
      <c r="G463" s="14"/>
      <c r="H463" s="14"/>
    </row>
    <row r="464">
      <c r="C464" s="14"/>
      <c r="D464" s="14"/>
      <c r="E464" s="14"/>
      <c r="F464" s="14"/>
      <c r="G464" s="14"/>
      <c r="H464" s="14"/>
    </row>
    <row r="465">
      <c r="C465" s="14"/>
      <c r="D465" s="14"/>
      <c r="E465" s="14"/>
      <c r="F465" s="14"/>
      <c r="G465" s="14"/>
      <c r="H465" s="14"/>
    </row>
    <row r="466">
      <c r="C466" s="14"/>
      <c r="D466" s="14"/>
      <c r="E466" s="14"/>
      <c r="F466" s="14"/>
      <c r="G466" s="14"/>
      <c r="H466" s="14"/>
    </row>
    <row r="467">
      <c r="C467" s="14"/>
      <c r="D467" s="14"/>
      <c r="E467" s="14"/>
      <c r="F467" s="14"/>
      <c r="G467" s="14"/>
      <c r="H467" s="14"/>
    </row>
    <row r="468">
      <c r="C468" s="14"/>
      <c r="D468" s="14"/>
      <c r="E468" s="14"/>
      <c r="F468" s="14"/>
      <c r="G468" s="14"/>
      <c r="H468" s="14"/>
    </row>
    <row r="469">
      <c r="C469" s="14"/>
      <c r="D469" s="14"/>
      <c r="E469" s="14"/>
      <c r="F469" s="14"/>
      <c r="G469" s="14"/>
      <c r="H469" s="14"/>
    </row>
    <row r="470">
      <c r="C470" s="14"/>
      <c r="D470" s="14"/>
      <c r="E470" s="14"/>
      <c r="F470" s="14"/>
      <c r="G470" s="14"/>
      <c r="H470" s="14"/>
    </row>
    <row r="471">
      <c r="C471" s="14"/>
      <c r="D471" s="14"/>
      <c r="E471" s="14"/>
      <c r="F471" s="14"/>
      <c r="G471" s="14"/>
      <c r="H471" s="14"/>
    </row>
    <row r="472">
      <c r="C472" s="14"/>
      <c r="D472" s="14"/>
      <c r="E472" s="14"/>
      <c r="F472" s="14"/>
      <c r="G472" s="14"/>
      <c r="H472" s="14"/>
    </row>
    <row r="473">
      <c r="C473" s="14"/>
      <c r="D473" s="14"/>
      <c r="E473" s="14"/>
      <c r="F473" s="14"/>
      <c r="G473" s="14"/>
      <c r="H473" s="14"/>
    </row>
    <row r="474">
      <c r="C474" s="14"/>
      <c r="D474" s="14"/>
      <c r="E474" s="14"/>
      <c r="F474" s="14"/>
      <c r="G474" s="14"/>
      <c r="H474" s="14"/>
    </row>
    <row r="475">
      <c r="C475" s="14"/>
      <c r="D475" s="14"/>
      <c r="E475" s="14"/>
      <c r="F475" s="14"/>
      <c r="G475" s="14"/>
      <c r="H475" s="14"/>
    </row>
    <row r="476">
      <c r="C476" s="14"/>
      <c r="D476" s="14"/>
      <c r="E476" s="14"/>
      <c r="F476" s="14"/>
      <c r="G476" s="14"/>
      <c r="H476" s="14"/>
    </row>
    <row r="477">
      <c r="C477" s="14"/>
      <c r="D477" s="14"/>
      <c r="E477" s="14"/>
      <c r="F477" s="14"/>
      <c r="G477" s="14"/>
      <c r="H477" s="14"/>
    </row>
    <row r="478">
      <c r="C478" s="14"/>
      <c r="D478" s="14"/>
      <c r="E478" s="14"/>
      <c r="F478" s="14"/>
      <c r="G478" s="14"/>
      <c r="H478" s="14"/>
    </row>
    <row r="479">
      <c r="C479" s="14"/>
      <c r="D479" s="14"/>
      <c r="E479" s="14"/>
      <c r="F479" s="14"/>
      <c r="G479" s="14"/>
      <c r="H479" s="14"/>
    </row>
    <row r="480">
      <c r="C480" s="14"/>
      <c r="D480" s="14"/>
      <c r="E480" s="14"/>
      <c r="F480" s="14"/>
      <c r="G480" s="14"/>
      <c r="H480" s="14"/>
    </row>
    <row r="481">
      <c r="C481" s="14"/>
      <c r="D481" s="14"/>
      <c r="E481" s="14"/>
      <c r="F481" s="14"/>
      <c r="G481" s="14"/>
      <c r="H481" s="14"/>
    </row>
    <row r="482">
      <c r="C482" s="14"/>
      <c r="D482" s="14"/>
      <c r="E482" s="14"/>
      <c r="F482" s="14"/>
      <c r="G482" s="14"/>
      <c r="H482" s="14"/>
    </row>
    <row r="483">
      <c r="C483" s="14"/>
      <c r="D483" s="14"/>
      <c r="E483" s="14"/>
      <c r="F483" s="14"/>
      <c r="G483" s="14"/>
      <c r="H483" s="14"/>
    </row>
    <row r="484">
      <c r="C484" s="14"/>
      <c r="D484" s="14"/>
      <c r="E484" s="14"/>
      <c r="F484" s="14"/>
      <c r="G484" s="14"/>
      <c r="H484" s="14"/>
    </row>
    <row r="485">
      <c r="C485" s="14"/>
      <c r="D485" s="14"/>
      <c r="E485" s="14"/>
      <c r="F485" s="14"/>
      <c r="G485" s="14"/>
      <c r="H485" s="14"/>
    </row>
    <row r="486">
      <c r="C486" s="14"/>
      <c r="D486" s="14"/>
      <c r="E486" s="14"/>
      <c r="F486" s="14"/>
      <c r="G486" s="14"/>
      <c r="H486" s="14"/>
    </row>
    <row r="487">
      <c r="C487" s="14"/>
      <c r="D487" s="14"/>
      <c r="E487" s="14"/>
      <c r="F487" s="14"/>
      <c r="G487" s="14"/>
      <c r="H487" s="14"/>
    </row>
    <row r="488">
      <c r="C488" s="14"/>
      <c r="D488" s="14"/>
      <c r="E488" s="14"/>
      <c r="F488" s="14"/>
      <c r="G488" s="14"/>
      <c r="H488" s="14"/>
    </row>
    <row r="489">
      <c r="C489" s="14"/>
      <c r="D489" s="14"/>
      <c r="E489" s="14"/>
      <c r="F489" s="14"/>
      <c r="G489" s="14"/>
      <c r="H489" s="14"/>
    </row>
    <row r="490">
      <c r="C490" s="14"/>
      <c r="D490" s="14"/>
      <c r="E490" s="14"/>
      <c r="F490" s="14"/>
      <c r="G490" s="14"/>
      <c r="H490" s="14"/>
    </row>
    <row r="491">
      <c r="C491" s="14"/>
      <c r="D491" s="14"/>
      <c r="E491" s="14"/>
      <c r="F491" s="14"/>
      <c r="G491" s="14"/>
      <c r="H491" s="14"/>
    </row>
    <row r="492">
      <c r="C492" s="14"/>
      <c r="D492" s="14"/>
      <c r="E492" s="14"/>
      <c r="F492" s="14"/>
      <c r="G492" s="14"/>
      <c r="H492" s="14"/>
    </row>
    <row r="493">
      <c r="C493" s="14"/>
      <c r="D493" s="14"/>
      <c r="E493" s="14"/>
      <c r="F493" s="14"/>
      <c r="G493" s="14"/>
      <c r="H493" s="14"/>
    </row>
    <row r="494">
      <c r="C494" s="14"/>
      <c r="D494" s="14"/>
      <c r="E494" s="14"/>
      <c r="F494" s="14"/>
      <c r="G494" s="14"/>
      <c r="H494" s="14"/>
    </row>
    <row r="495">
      <c r="C495" s="14"/>
      <c r="D495" s="14"/>
      <c r="E495" s="14"/>
      <c r="F495" s="14"/>
      <c r="G495" s="14"/>
      <c r="H495" s="14"/>
    </row>
    <row r="496">
      <c r="C496" s="14"/>
      <c r="D496" s="14"/>
      <c r="E496" s="14"/>
      <c r="F496" s="14"/>
      <c r="G496" s="14"/>
      <c r="H496" s="14"/>
    </row>
    <row r="497">
      <c r="C497" s="14"/>
      <c r="D497" s="14"/>
      <c r="E497" s="14"/>
      <c r="F497" s="14"/>
      <c r="G497" s="14"/>
      <c r="H497" s="14"/>
    </row>
    <row r="498">
      <c r="C498" s="14"/>
      <c r="D498" s="14"/>
      <c r="E498" s="14"/>
      <c r="F498" s="14"/>
      <c r="G498" s="14"/>
      <c r="H498" s="14"/>
    </row>
    <row r="499">
      <c r="C499" s="14"/>
      <c r="D499" s="14"/>
      <c r="E499" s="14"/>
      <c r="F499" s="14"/>
      <c r="G499" s="14"/>
      <c r="H499" s="14"/>
    </row>
    <row r="500">
      <c r="C500" s="14"/>
      <c r="D500" s="14"/>
      <c r="E500" s="14"/>
      <c r="F500" s="14"/>
      <c r="G500" s="14"/>
      <c r="H500" s="14"/>
    </row>
    <row r="501">
      <c r="C501" s="14"/>
      <c r="D501" s="14"/>
      <c r="E501" s="14"/>
      <c r="F501" s="14"/>
      <c r="G501" s="14"/>
      <c r="H501" s="14"/>
    </row>
    <row r="502">
      <c r="C502" s="14"/>
      <c r="D502" s="14"/>
      <c r="E502" s="14"/>
      <c r="F502" s="14"/>
      <c r="G502" s="14"/>
      <c r="H502" s="14"/>
    </row>
    <row r="503">
      <c r="C503" s="14"/>
      <c r="D503" s="14"/>
      <c r="E503" s="14"/>
      <c r="F503" s="14"/>
      <c r="G503" s="14"/>
      <c r="H503" s="14"/>
    </row>
    <row r="504">
      <c r="C504" s="14"/>
      <c r="D504" s="14"/>
      <c r="E504" s="14"/>
      <c r="F504" s="14"/>
      <c r="G504" s="14"/>
      <c r="H504" s="14"/>
    </row>
    <row r="505">
      <c r="C505" s="14"/>
      <c r="D505" s="14"/>
      <c r="E505" s="14"/>
      <c r="F505" s="14"/>
      <c r="G505" s="14"/>
      <c r="H505" s="14"/>
    </row>
    <row r="506">
      <c r="C506" s="14"/>
      <c r="D506" s="14"/>
      <c r="E506" s="14"/>
      <c r="F506" s="14"/>
      <c r="G506" s="14"/>
      <c r="H506" s="14"/>
    </row>
    <row r="507">
      <c r="C507" s="14"/>
      <c r="D507" s="14"/>
      <c r="E507" s="14"/>
      <c r="F507" s="14"/>
      <c r="G507" s="14"/>
      <c r="H507" s="14"/>
    </row>
    <row r="508">
      <c r="C508" s="14"/>
      <c r="D508" s="14"/>
      <c r="E508" s="14"/>
      <c r="F508" s="14"/>
      <c r="G508" s="14"/>
      <c r="H508" s="14"/>
    </row>
    <row r="509">
      <c r="C509" s="14"/>
      <c r="D509" s="14"/>
      <c r="E509" s="14"/>
      <c r="F509" s="14"/>
      <c r="G509" s="14"/>
      <c r="H509" s="14"/>
    </row>
    <row r="510">
      <c r="C510" s="14"/>
      <c r="D510" s="14"/>
      <c r="E510" s="14"/>
      <c r="F510" s="14"/>
      <c r="G510" s="14"/>
      <c r="H510" s="14"/>
    </row>
    <row r="511">
      <c r="C511" s="14"/>
      <c r="D511" s="14"/>
      <c r="E511" s="14"/>
      <c r="F511" s="14"/>
      <c r="G511" s="14"/>
      <c r="H511" s="14"/>
    </row>
    <row r="512">
      <c r="C512" s="14"/>
      <c r="D512" s="14"/>
      <c r="E512" s="14"/>
      <c r="F512" s="14"/>
      <c r="G512" s="14"/>
      <c r="H512" s="14"/>
    </row>
    <row r="513">
      <c r="C513" s="14"/>
      <c r="D513" s="14"/>
      <c r="E513" s="14"/>
      <c r="F513" s="14"/>
      <c r="G513" s="14"/>
      <c r="H513" s="14"/>
    </row>
    <row r="514">
      <c r="C514" s="14"/>
      <c r="D514" s="14"/>
      <c r="E514" s="14"/>
      <c r="F514" s="14"/>
      <c r="G514" s="14"/>
      <c r="H514" s="14"/>
    </row>
    <row r="515">
      <c r="C515" s="14"/>
      <c r="D515" s="14"/>
      <c r="E515" s="14"/>
      <c r="F515" s="14"/>
      <c r="G515" s="14"/>
      <c r="H515" s="14"/>
    </row>
    <row r="516">
      <c r="C516" s="14"/>
      <c r="D516" s="14"/>
      <c r="E516" s="14"/>
      <c r="F516" s="14"/>
      <c r="G516" s="14"/>
      <c r="H516" s="14"/>
    </row>
    <row r="517">
      <c r="C517" s="14"/>
      <c r="D517" s="14"/>
      <c r="E517" s="14"/>
      <c r="F517" s="14"/>
      <c r="G517" s="14"/>
      <c r="H517" s="14"/>
    </row>
    <row r="518">
      <c r="C518" s="14"/>
      <c r="D518" s="14"/>
      <c r="E518" s="14"/>
      <c r="F518" s="14"/>
      <c r="G518" s="14"/>
      <c r="H518" s="14"/>
    </row>
    <row r="519">
      <c r="C519" s="14"/>
      <c r="D519" s="14"/>
      <c r="E519" s="14"/>
      <c r="F519" s="14"/>
      <c r="G519" s="14"/>
      <c r="H519" s="14"/>
    </row>
    <row r="520">
      <c r="C520" s="14"/>
      <c r="D520" s="14"/>
      <c r="E520" s="14"/>
      <c r="F520" s="14"/>
      <c r="G520" s="14"/>
      <c r="H520" s="14"/>
    </row>
    <row r="521">
      <c r="C521" s="14"/>
      <c r="D521" s="14"/>
      <c r="E521" s="14"/>
      <c r="F521" s="14"/>
      <c r="G521" s="14"/>
      <c r="H521" s="14"/>
    </row>
    <row r="522">
      <c r="C522" s="14"/>
      <c r="D522" s="14"/>
      <c r="E522" s="14"/>
      <c r="F522" s="14"/>
      <c r="G522" s="14"/>
      <c r="H522" s="14"/>
    </row>
    <row r="523">
      <c r="C523" s="14"/>
      <c r="D523" s="14"/>
      <c r="E523" s="14"/>
      <c r="F523" s="14"/>
      <c r="G523" s="14"/>
      <c r="H523" s="14"/>
    </row>
    <row r="524">
      <c r="C524" s="14"/>
      <c r="D524" s="14"/>
      <c r="E524" s="14"/>
      <c r="F524" s="14"/>
      <c r="G524" s="14"/>
      <c r="H524" s="14"/>
    </row>
    <row r="525">
      <c r="C525" s="14"/>
      <c r="D525" s="14"/>
      <c r="E525" s="14"/>
      <c r="F525" s="14"/>
      <c r="G525" s="14"/>
      <c r="H525" s="14"/>
    </row>
    <row r="526">
      <c r="C526" s="14"/>
      <c r="D526" s="14"/>
      <c r="E526" s="14"/>
      <c r="F526" s="14"/>
      <c r="G526" s="14"/>
      <c r="H526" s="14"/>
    </row>
    <row r="527">
      <c r="C527" s="14"/>
      <c r="D527" s="14"/>
      <c r="E527" s="14"/>
      <c r="F527" s="14"/>
      <c r="G527" s="14"/>
      <c r="H527" s="14"/>
    </row>
    <row r="528">
      <c r="C528" s="14"/>
      <c r="D528" s="14"/>
      <c r="E528" s="14"/>
      <c r="F528" s="14"/>
      <c r="G528" s="14"/>
      <c r="H528" s="14"/>
    </row>
    <row r="529">
      <c r="C529" s="14"/>
      <c r="D529" s="14"/>
      <c r="E529" s="14"/>
      <c r="F529" s="14"/>
      <c r="G529" s="14"/>
      <c r="H529" s="14"/>
    </row>
    <row r="530">
      <c r="C530" s="14"/>
      <c r="D530" s="14"/>
      <c r="E530" s="14"/>
      <c r="F530" s="14"/>
      <c r="G530" s="14"/>
      <c r="H530" s="14"/>
    </row>
    <row r="531">
      <c r="C531" s="14"/>
      <c r="D531" s="14"/>
      <c r="E531" s="14"/>
      <c r="F531" s="14"/>
      <c r="G531" s="14"/>
      <c r="H531" s="14"/>
    </row>
    <row r="532">
      <c r="C532" s="14"/>
      <c r="D532" s="14"/>
      <c r="E532" s="14"/>
      <c r="F532" s="14"/>
      <c r="G532" s="14"/>
      <c r="H532" s="14"/>
    </row>
    <row r="533">
      <c r="C533" s="14"/>
      <c r="D533" s="14"/>
      <c r="E533" s="14"/>
      <c r="F533" s="14"/>
      <c r="G533" s="14"/>
      <c r="H533" s="14"/>
    </row>
    <row r="534">
      <c r="C534" s="14"/>
      <c r="D534" s="14"/>
      <c r="E534" s="14"/>
      <c r="F534" s="14"/>
      <c r="G534" s="14"/>
      <c r="H534" s="14"/>
    </row>
    <row r="535">
      <c r="C535" s="14"/>
      <c r="D535" s="14"/>
      <c r="E535" s="14"/>
      <c r="F535" s="14"/>
      <c r="G535" s="14"/>
      <c r="H535" s="14"/>
    </row>
    <row r="536">
      <c r="C536" s="14"/>
      <c r="D536" s="14"/>
      <c r="E536" s="14"/>
      <c r="F536" s="14"/>
      <c r="G536" s="14"/>
      <c r="H536" s="14"/>
    </row>
    <row r="537">
      <c r="C537" s="14"/>
      <c r="D537" s="14"/>
      <c r="E537" s="14"/>
      <c r="F537" s="14"/>
      <c r="G537" s="14"/>
      <c r="H537" s="14"/>
    </row>
    <row r="538">
      <c r="C538" s="14"/>
      <c r="D538" s="14"/>
      <c r="E538" s="14"/>
      <c r="F538" s="14"/>
      <c r="G538" s="14"/>
      <c r="H538" s="14"/>
    </row>
    <row r="539">
      <c r="C539" s="14"/>
      <c r="D539" s="14"/>
      <c r="E539" s="14"/>
      <c r="F539" s="14"/>
      <c r="G539" s="14"/>
      <c r="H539" s="14"/>
    </row>
    <row r="540">
      <c r="C540" s="14"/>
      <c r="D540" s="14"/>
      <c r="E540" s="14"/>
      <c r="F540" s="14"/>
      <c r="G540" s="14"/>
      <c r="H540" s="14"/>
    </row>
    <row r="541">
      <c r="C541" s="14"/>
      <c r="D541" s="14"/>
      <c r="E541" s="14"/>
      <c r="F541" s="14"/>
      <c r="G541" s="14"/>
      <c r="H541" s="14"/>
    </row>
    <row r="542">
      <c r="C542" s="14"/>
      <c r="D542" s="14"/>
      <c r="E542" s="14"/>
      <c r="F542" s="14"/>
      <c r="G542" s="14"/>
      <c r="H542" s="14"/>
    </row>
    <row r="543">
      <c r="C543" s="14"/>
      <c r="D543" s="14"/>
      <c r="E543" s="14"/>
      <c r="F543" s="14"/>
      <c r="G543" s="14"/>
      <c r="H543" s="14"/>
    </row>
    <row r="544">
      <c r="C544" s="14"/>
      <c r="D544" s="14"/>
      <c r="E544" s="14"/>
      <c r="F544" s="14"/>
      <c r="G544" s="14"/>
      <c r="H544" s="14"/>
    </row>
    <row r="545">
      <c r="C545" s="14"/>
      <c r="D545" s="14"/>
      <c r="E545" s="14"/>
      <c r="F545" s="14"/>
      <c r="G545" s="14"/>
      <c r="H545" s="14"/>
    </row>
    <row r="546">
      <c r="C546" s="14"/>
      <c r="D546" s="14"/>
      <c r="E546" s="14"/>
      <c r="F546" s="14"/>
      <c r="G546" s="14"/>
      <c r="H546" s="14"/>
    </row>
    <row r="547">
      <c r="C547" s="14"/>
      <c r="D547" s="14"/>
      <c r="E547" s="14"/>
      <c r="F547" s="14"/>
      <c r="G547" s="14"/>
      <c r="H547" s="14"/>
    </row>
    <row r="548">
      <c r="C548" s="14"/>
      <c r="D548" s="14"/>
      <c r="E548" s="14"/>
      <c r="F548" s="14"/>
      <c r="G548" s="14"/>
      <c r="H548" s="14"/>
    </row>
    <row r="549">
      <c r="C549" s="14"/>
      <c r="D549" s="14"/>
      <c r="E549" s="14"/>
      <c r="F549" s="14"/>
      <c r="G549" s="14"/>
      <c r="H549" s="14"/>
    </row>
    <row r="550">
      <c r="C550" s="14"/>
      <c r="D550" s="14"/>
      <c r="E550" s="14"/>
      <c r="F550" s="14"/>
      <c r="G550" s="14"/>
      <c r="H550" s="14"/>
    </row>
    <row r="551">
      <c r="C551" s="14"/>
      <c r="D551" s="14"/>
      <c r="E551" s="14"/>
      <c r="F551" s="14"/>
      <c r="G551" s="14"/>
      <c r="H551" s="14"/>
    </row>
    <row r="552">
      <c r="C552" s="14"/>
      <c r="D552" s="14"/>
      <c r="E552" s="14"/>
      <c r="F552" s="14"/>
      <c r="G552" s="14"/>
      <c r="H552" s="14"/>
    </row>
    <row r="553">
      <c r="C553" s="14"/>
      <c r="D553" s="14"/>
      <c r="E553" s="14"/>
      <c r="F553" s="14"/>
      <c r="G553" s="14"/>
      <c r="H553" s="14"/>
    </row>
    <row r="554">
      <c r="C554" s="14"/>
      <c r="D554" s="14"/>
      <c r="E554" s="14"/>
      <c r="F554" s="14"/>
      <c r="G554" s="14"/>
      <c r="H554" s="14"/>
    </row>
    <row r="555">
      <c r="C555" s="14"/>
      <c r="D555" s="14"/>
      <c r="E555" s="14"/>
      <c r="F555" s="14"/>
      <c r="G555" s="14"/>
      <c r="H555" s="14"/>
    </row>
    <row r="556">
      <c r="C556" s="14"/>
      <c r="D556" s="14"/>
      <c r="E556" s="14"/>
      <c r="F556" s="14"/>
      <c r="G556" s="14"/>
      <c r="H556" s="14"/>
    </row>
    <row r="557">
      <c r="C557" s="14"/>
      <c r="D557" s="14"/>
      <c r="E557" s="14"/>
      <c r="F557" s="14"/>
      <c r="G557" s="14"/>
      <c r="H557" s="14"/>
    </row>
    <row r="558">
      <c r="C558" s="14"/>
      <c r="D558" s="14"/>
      <c r="E558" s="14"/>
      <c r="F558" s="14"/>
      <c r="G558" s="14"/>
      <c r="H558" s="14"/>
    </row>
    <row r="559">
      <c r="C559" s="14"/>
      <c r="D559" s="14"/>
      <c r="E559" s="14"/>
      <c r="F559" s="14"/>
      <c r="G559" s="14"/>
      <c r="H559" s="14"/>
    </row>
    <row r="560">
      <c r="C560" s="14"/>
      <c r="D560" s="14"/>
      <c r="E560" s="14"/>
      <c r="F560" s="14"/>
      <c r="G560" s="14"/>
      <c r="H560" s="14"/>
    </row>
    <row r="561">
      <c r="C561" s="14"/>
      <c r="D561" s="14"/>
      <c r="E561" s="14"/>
      <c r="F561" s="14"/>
      <c r="G561" s="14"/>
      <c r="H561" s="14"/>
    </row>
    <row r="562">
      <c r="C562" s="14"/>
      <c r="D562" s="14"/>
      <c r="E562" s="14"/>
      <c r="F562" s="14"/>
      <c r="G562" s="14"/>
      <c r="H562" s="14"/>
    </row>
    <row r="563">
      <c r="C563" s="14"/>
      <c r="D563" s="14"/>
      <c r="E563" s="14"/>
      <c r="F563" s="14"/>
      <c r="G563" s="14"/>
      <c r="H563" s="14"/>
    </row>
    <row r="564">
      <c r="C564" s="14"/>
      <c r="D564" s="14"/>
      <c r="E564" s="14"/>
      <c r="F564" s="14"/>
      <c r="G564" s="14"/>
      <c r="H564" s="14"/>
    </row>
    <row r="565">
      <c r="C565" s="14"/>
      <c r="D565" s="14"/>
      <c r="E565" s="14"/>
      <c r="F565" s="14"/>
      <c r="G565" s="14"/>
      <c r="H565" s="14"/>
    </row>
    <row r="566">
      <c r="C566" s="14"/>
      <c r="D566" s="14"/>
      <c r="E566" s="14"/>
      <c r="F566" s="14"/>
      <c r="G566" s="14"/>
      <c r="H566" s="14"/>
    </row>
    <row r="567">
      <c r="C567" s="14"/>
      <c r="D567" s="14"/>
      <c r="E567" s="14"/>
      <c r="F567" s="14"/>
      <c r="G567" s="14"/>
      <c r="H567" s="14"/>
    </row>
    <row r="568">
      <c r="C568" s="14"/>
      <c r="D568" s="14"/>
      <c r="E568" s="14"/>
      <c r="F568" s="14"/>
      <c r="G568" s="14"/>
      <c r="H568" s="14"/>
    </row>
    <row r="569">
      <c r="C569" s="14"/>
      <c r="D569" s="14"/>
      <c r="E569" s="14"/>
      <c r="F569" s="14"/>
      <c r="G569" s="14"/>
      <c r="H569" s="14"/>
    </row>
    <row r="570">
      <c r="C570" s="14"/>
      <c r="D570" s="14"/>
      <c r="E570" s="14"/>
      <c r="F570" s="14"/>
      <c r="G570" s="14"/>
      <c r="H570" s="14"/>
    </row>
    <row r="571">
      <c r="C571" s="14"/>
      <c r="D571" s="14"/>
      <c r="E571" s="14"/>
      <c r="F571" s="14"/>
      <c r="G571" s="14"/>
      <c r="H571" s="14"/>
    </row>
    <row r="572">
      <c r="C572" s="14"/>
      <c r="D572" s="14"/>
      <c r="E572" s="14"/>
      <c r="F572" s="14"/>
      <c r="G572" s="14"/>
      <c r="H572" s="14"/>
    </row>
    <row r="573">
      <c r="C573" s="14"/>
      <c r="D573" s="14"/>
      <c r="E573" s="14"/>
      <c r="F573" s="14"/>
      <c r="G573" s="14"/>
      <c r="H573" s="14"/>
    </row>
    <row r="574">
      <c r="C574" s="14"/>
      <c r="D574" s="14"/>
      <c r="E574" s="14"/>
      <c r="F574" s="14"/>
      <c r="G574" s="14"/>
      <c r="H574" s="14"/>
    </row>
    <row r="575">
      <c r="C575" s="14"/>
      <c r="D575" s="14"/>
      <c r="E575" s="14"/>
      <c r="F575" s="14"/>
      <c r="G575" s="14"/>
      <c r="H575" s="14"/>
    </row>
    <row r="576">
      <c r="C576" s="14"/>
      <c r="D576" s="14"/>
      <c r="E576" s="14"/>
      <c r="F576" s="14"/>
      <c r="G576" s="14"/>
      <c r="H576" s="14"/>
    </row>
    <row r="577">
      <c r="C577" s="14"/>
      <c r="D577" s="14"/>
      <c r="E577" s="14"/>
      <c r="F577" s="14"/>
      <c r="G577" s="14"/>
      <c r="H577" s="14"/>
    </row>
    <row r="578">
      <c r="C578" s="14"/>
      <c r="D578" s="14"/>
      <c r="E578" s="14"/>
      <c r="F578" s="14"/>
      <c r="G578" s="14"/>
      <c r="H578" s="14"/>
    </row>
    <row r="579">
      <c r="C579" s="14"/>
      <c r="D579" s="14"/>
      <c r="E579" s="14"/>
      <c r="F579" s="14"/>
      <c r="G579" s="14"/>
      <c r="H579" s="14"/>
    </row>
    <row r="580">
      <c r="C580" s="14"/>
      <c r="D580" s="14"/>
      <c r="E580" s="14"/>
      <c r="F580" s="14"/>
      <c r="G580" s="14"/>
      <c r="H580" s="14"/>
    </row>
    <row r="581">
      <c r="C581" s="14"/>
      <c r="D581" s="14"/>
      <c r="E581" s="14"/>
      <c r="F581" s="14"/>
      <c r="G581" s="14"/>
      <c r="H581" s="14"/>
    </row>
    <row r="582">
      <c r="C582" s="14"/>
      <c r="D582" s="14"/>
      <c r="E582" s="14"/>
      <c r="F582" s="14"/>
      <c r="G582" s="14"/>
      <c r="H582" s="14"/>
    </row>
    <row r="583">
      <c r="C583" s="14"/>
      <c r="D583" s="14"/>
      <c r="E583" s="14"/>
      <c r="F583" s="14"/>
      <c r="G583" s="14"/>
      <c r="H583" s="14"/>
    </row>
    <row r="584">
      <c r="C584" s="14"/>
      <c r="D584" s="14"/>
      <c r="E584" s="14"/>
      <c r="F584" s="14"/>
      <c r="G584" s="14"/>
      <c r="H584" s="14"/>
    </row>
    <row r="585">
      <c r="C585" s="14"/>
      <c r="D585" s="14"/>
      <c r="E585" s="14"/>
      <c r="F585" s="14"/>
      <c r="G585" s="14"/>
      <c r="H585" s="14"/>
    </row>
    <row r="586">
      <c r="C586" s="14"/>
      <c r="D586" s="14"/>
      <c r="E586" s="14"/>
      <c r="F586" s="14"/>
      <c r="G586" s="14"/>
      <c r="H586" s="14"/>
    </row>
    <row r="587">
      <c r="C587" s="14"/>
      <c r="D587" s="14"/>
      <c r="E587" s="14"/>
      <c r="F587" s="14"/>
      <c r="G587" s="14"/>
      <c r="H587" s="14"/>
    </row>
    <row r="588">
      <c r="C588" s="14"/>
      <c r="D588" s="14"/>
      <c r="E588" s="14"/>
      <c r="F588" s="14"/>
      <c r="G588" s="14"/>
      <c r="H588" s="14"/>
    </row>
    <row r="589">
      <c r="C589" s="14"/>
      <c r="D589" s="14"/>
      <c r="E589" s="14"/>
      <c r="F589" s="14"/>
      <c r="G589" s="14"/>
      <c r="H589" s="14"/>
    </row>
    <row r="590">
      <c r="C590" s="14"/>
      <c r="D590" s="14"/>
      <c r="E590" s="14"/>
      <c r="F590" s="14"/>
      <c r="G590" s="14"/>
      <c r="H590" s="14"/>
    </row>
    <row r="591">
      <c r="C591" s="14"/>
      <c r="D591" s="14"/>
      <c r="E591" s="14"/>
      <c r="F591" s="14"/>
      <c r="G591" s="14"/>
      <c r="H591" s="14"/>
    </row>
    <row r="592">
      <c r="C592" s="14"/>
      <c r="D592" s="14"/>
      <c r="E592" s="14"/>
      <c r="F592" s="14"/>
      <c r="G592" s="14"/>
      <c r="H592" s="14"/>
    </row>
    <row r="593">
      <c r="C593" s="14"/>
      <c r="D593" s="14"/>
      <c r="E593" s="14"/>
      <c r="F593" s="14"/>
      <c r="G593" s="14"/>
      <c r="H593" s="14"/>
    </row>
    <row r="594">
      <c r="C594" s="14"/>
      <c r="D594" s="14"/>
      <c r="E594" s="14"/>
      <c r="F594" s="14"/>
      <c r="G594" s="14"/>
      <c r="H594" s="14"/>
    </row>
    <row r="595">
      <c r="C595" s="14"/>
      <c r="D595" s="14"/>
      <c r="E595" s="14"/>
      <c r="F595" s="14"/>
      <c r="G595" s="14"/>
      <c r="H595" s="14"/>
    </row>
    <row r="596">
      <c r="C596" s="14"/>
      <c r="D596" s="14"/>
      <c r="E596" s="14"/>
      <c r="F596" s="14"/>
      <c r="G596" s="14"/>
      <c r="H596" s="14"/>
    </row>
    <row r="597">
      <c r="C597" s="14"/>
      <c r="D597" s="14"/>
      <c r="E597" s="14"/>
      <c r="F597" s="14"/>
      <c r="G597" s="14"/>
      <c r="H597" s="14"/>
    </row>
    <row r="598">
      <c r="C598" s="14"/>
      <c r="D598" s="14"/>
      <c r="E598" s="14"/>
      <c r="F598" s="14"/>
      <c r="G598" s="14"/>
      <c r="H598" s="14"/>
    </row>
    <row r="599">
      <c r="C599" s="14"/>
      <c r="D599" s="14"/>
      <c r="E599" s="14"/>
      <c r="F599" s="14"/>
      <c r="G599" s="14"/>
      <c r="H599" s="14"/>
    </row>
    <row r="600">
      <c r="C600" s="14"/>
      <c r="D600" s="14"/>
      <c r="E600" s="14"/>
      <c r="F600" s="14"/>
      <c r="G600" s="14"/>
      <c r="H600" s="14"/>
    </row>
    <row r="601">
      <c r="C601" s="14"/>
      <c r="D601" s="14"/>
      <c r="E601" s="14"/>
      <c r="F601" s="14"/>
      <c r="G601" s="14"/>
      <c r="H601" s="14"/>
    </row>
    <row r="602">
      <c r="C602" s="14"/>
      <c r="D602" s="14"/>
      <c r="E602" s="14"/>
      <c r="F602" s="14"/>
      <c r="G602" s="14"/>
      <c r="H602" s="14"/>
    </row>
    <row r="603">
      <c r="C603" s="14"/>
      <c r="D603" s="14"/>
      <c r="E603" s="14"/>
      <c r="F603" s="14"/>
      <c r="G603" s="14"/>
      <c r="H603" s="14"/>
    </row>
    <row r="604">
      <c r="C604" s="14"/>
      <c r="D604" s="14"/>
      <c r="E604" s="14"/>
      <c r="F604" s="14"/>
      <c r="G604" s="14"/>
      <c r="H604" s="14"/>
    </row>
    <row r="605">
      <c r="C605" s="14"/>
      <c r="D605" s="14"/>
      <c r="E605" s="14"/>
      <c r="F605" s="14"/>
      <c r="G605" s="14"/>
      <c r="H605" s="14"/>
    </row>
    <row r="606">
      <c r="C606" s="14"/>
      <c r="D606" s="14"/>
      <c r="E606" s="14"/>
      <c r="F606" s="14"/>
      <c r="G606" s="14"/>
      <c r="H606" s="14"/>
    </row>
    <row r="607">
      <c r="C607" s="14"/>
      <c r="D607" s="14"/>
      <c r="E607" s="14"/>
      <c r="F607" s="14"/>
      <c r="G607" s="14"/>
      <c r="H607" s="14"/>
    </row>
    <row r="608">
      <c r="C608" s="14"/>
      <c r="D608" s="14"/>
      <c r="E608" s="14"/>
      <c r="F608" s="14"/>
      <c r="G608" s="14"/>
      <c r="H608" s="14"/>
    </row>
    <row r="609">
      <c r="C609" s="14"/>
      <c r="D609" s="14"/>
      <c r="E609" s="14"/>
      <c r="F609" s="14"/>
      <c r="G609" s="14"/>
      <c r="H609" s="14"/>
    </row>
    <row r="610">
      <c r="C610" s="14"/>
      <c r="D610" s="14"/>
      <c r="E610" s="14"/>
      <c r="F610" s="14"/>
      <c r="G610" s="14"/>
      <c r="H610" s="14"/>
    </row>
    <row r="611">
      <c r="C611" s="14"/>
      <c r="D611" s="14"/>
      <c r="E611" s="14"/>
      <c r="F611" s="14"/>
      <c r="G611" s="14"/>
      <c r="H611" s="14"/>
    </row>
    <row r="612">
      <c r="C612" s="14"/>
      <c r="D612" s="14"/>
      <c r="E612" s="14"/>
      <c r="F612" s="14"/>
      <c r="G612" s="14"/>
      <c r="H612" s="14"/>
    </row>
    <row r="613">
      <c r="C613" s="14"/>
      <c r="D613" s="14"/>
      <c r="E613" s="14"/>
      <c r="F613" s="14"/>
      <c r="G613" s="14"/>
      <c r="H613" s="14"/>
    </row>
    <row r="614">
      <c r="C614" s="14"/>
      <c r="D614" s="14"/>
      <c r="E614" s="14"/>
      <c r="F614" s="14"/>
      <c r="G614" s="14"/>
      <c r="H614" s="14"/>
    </row>
    <row r="615">
      <c r="C615" s="14"/>
      <c r="D615" s="14"/>
      <c r="E615" s="14"/>
      <c r="F615" s="14"/>
      <c r="G615" s="14"/>
      <c r="H615" s="14"/>
    </row>
    <row r="616">
      <c r="C616" s="14"/>
      <c r="D616" s="14"/>
      <c r="E616" s="14"/>
      <c r="F616" s="14"/>
      <c r="G616" s="14"/>
      <c r="H616" s="14"/>
    </row>
    <row r="617">
      <c r="C617" s="14"/>
      <c r="D617" s="14"/>
      <c r="E617" s="14"/>
      <c r="F617" s="14"/>
      <c r="G617" s="14"/>
      <c r="H617" s="14"/>
    </row>
    <row r="618">
      <c r="C618" s="14"/>
      <c r="D618" s="14"/>
      <c r="E618" s="14"/>
      <c r="F618" s="14"/>
      <c r="G618" s="14"/>
      <c r="H618" s="14"/>
    </row>
    <row r="619">
      <c r="C619" s="14"/>
      <c r="D619" s="14"/>
      <c r="E619" s="14"/>
      <c r="F619" s="14"/>
      <c r="G619" s="14"/>
      <c r="H619" s="14"/>
    </row>
    <row r="620">
      <c r="C620" s="14"/>
      <c r="D620" s="14"/>
      <c r="E620" s="14"/>
      <c r="F620" s="14"/>
      <c r="G620" s="14"/>
      <c r="H620" s="14"/>
    </row>
    <row r="621">
      <c r="C621" s="14"/>
      <c r="D621" s="14"/>
      <c r="E621" s="14"/>
      <c r="F621" s="14"/>
      <c r="G621" s="14"/>
      <c r="H621" s="14"/>
    </row>
    <row r="622">
      <c r="C622" s="14"/>
      <c r="D622" s="14"/>
      <c r="E622" s="14"/>
      <c r="F622" s="14"/>
      <c r="G622" s="14"/>
      <c r="H622" s="14"/>
    </row>
    <row r="623">
      <c r="C623" s="14"/>
      <c r="D623" s="14"/>
      <c r="E623" s="14"/>
      <c r="F623" s="14"/>
      <c r="G623" s="14"/>
      <c r="H623" s="14"/>
    </row>
    <row r="624">
      <c r="C624" s="14"/>
      <c r="D624" s="14"/>
      <c r="E624" s="14"/>
      <c r="F624" s="14"/>
      <c r="G624" s="14"/>
      <c r="H624" s="14"/>
    </row>
    <row r="625">
      <c r="C625" s="14"/>
      <c r="D625" s="14"/>
      <c r="E625" s="14"/>
      <c r="F625" s="14"/>
      <c r="G625" s="14"/>
      <c r="H625" s="14"/>
    </row>
    <row r="626">
      <c r="C626" s="14"/>
      <c r="D626" s="14"/>
      <c r="E626" s="14"/>
      <c r="F626" s="14"/>
      <c r="G626" s="14"/>
      <c r="H626" s="14"/>
    </row>
    <row r="627">
      <c r="C627" s="14"/>
      <c r="D627" s="14"/>
      <c r="E627" s="14"/>
      <c r="F627" s="14"/>
      <c r="G627" s="14"/>
      <c r="H627" s="14"/>
    </row>
    <row r="628">
      <c r="C628" s="14"/>
      <c r="D628" s="14"/>
      <c r="E628" s="14"/>
      <c r="F628" s="14"/>
      <c r="G628" s="14"/>
      <c r="H628" s="14"/>
    </row>
    <row r="629">
      <c r="C629" s="14"/>
      <c r="D629" s="14"/>
      <c r="E629" s="14"/>
      <c r="F629" s="14"/>
      <c r="G629" s="14"/>
      <c r="H629" s="14"/>
    </row>
    <row r="630">
      <c r="C630" s="14"/>
      <c r="D630" s="14"/>
      <c r="E630" s="14"/>
      <c r="F630" s="14"/>
      <c r="G630" s="14"/>
      <c r="H630" s="14"/>
    </row>
    <row r="631">
      <c r="C631" s="14"/>
      <c r="D631" s="14"/>
      <c r="E631" s="14"/>
      <c r="F631" s="14"/>
      <c r="G631" s="14"/>
      <c r="H631" s="14"/>
    </row>
    <row r="632">
      <c r="C632" s="14"/>
      <c r="D632" s="14"/>
      <c r="E632" s="14"/>
      <c r="F632" s="14"/>
      <c r="G632" s="14"/>
      <c r="H632" s="14"/>
    </row>
    <row r="633">
      <c r="C633" s="14"/>
      <c r="D633" s="14"/>
      <c r="E633" s="14"/>
      <c r="F633" s="14"/>
      <c r="G633" s="14"/>
      <c r="H633" s="14"/>
    </row>
    <row r="634">
      <c r="C634" s="14"/>
      <c r="D634" s="14"/>
      <c r="E634" s="14"/>
      <c r="F634" s="14"/>
      <c r="G634" s="14"/>
      <c r="H634" s="14"/>
    </row>
    <row r="635">
      <c r="C635" s="14"/>
      <c r="D635" s="14"/>
      <c r="E635" s="14"/>
      <c r="F635" s="14"/>
      <c r="G635" s="14"/>
      <c r="H635" s="14"/>
    </row>
    <row r="636">
      <c r="C636" s="14"/>
      <c r="D636" s="14"/>
      <c r="E636" s="14"/>
      <c r="F636" s="14"/>
      <c r="G636" s="14"/>
      <c r="H636" s="14"/>
    </row>
    <row r="637">
      <c r="C637" s="14"/>
      <c r="D637" s="14"/>
      <c r="E637" s="14"/>
      <c r="F637" s="14"/>
      <c r="G637" s="14"/>
      <c r="H637" s="14"/>
    </row>
    <row r="638">
      <c r="C638" s="14"/>
      <c r="D638" s="14"/>
      <c r="E638" s="14"/>
      <c r="F638" s="14"/>
      <c r="G638" s="14"/>
      <c r="H638" s="14"/>
    </row>
    <row r="639">
      <c r="C639" s="14"/>
      <c r="D639" s="14"/>
      <c r="E639" s="14"/>
      <c r="F639" s="14"/>
      <c r="G639" s="14"/>
      <c r="H639" s="14"/>
    </row>
    <row r="640">
      <c r="C640" s="14"/>
      <c r="D640" s="14"/>
      <c r="E640" s="14"/>
      <c r="F640" s="14"/>
      <c r="G640" s="14"/>
      <c r="H640" s="14"/>
    </row>
    <row r="641">
      <c r="C641" s="14"/>
      <c r="D641" s="14"/>
      <c r="E641" s="14"/>
      <c r="F641" s="14"/>
      <c r="G641" s="14"/>
      <c r="H641" s="14"/>
    </row>
    <row r="642">
      <c r="C642" s="14"/>
      <c r="D642" s="14"/>
      <c r="E642" s="14"/>
      <c r="F642" s="14"/>
      <c r="G642" s="14"/>
      <c r="H642" s="14"/>
    </row>
    <row r="643">
      <c r="C643" s="14"/>
      <c r="D643" s="14"/>
      <c r="E643" s="14"/>
      <c r="F643" s="14"/>
      <c r="G643" s="14"/>
      <c r="H643" s="14"/>
    </row>
    <row r="644">
      <c r="C644" s="14"/>
      <c r="D644" s="14"/>
      <c r="E644" s="14"/>
      <c r="F644" s="14"/>
      <c r="G644" s="14"/>
      <c r="H644" s="14"/>
    </row>
    <row r="645">
      <c r="C645" s="14"/>
      <c r="D645" s="14"/>
      <c r="E645" s="14"/>
      <c r="F645" s="14"/>
      <c r="G645" s="14"/>
      <c r="H645" s="14"/>
    </row>
    <row r="646">
      <c r="C646" s="14"/>
      <c r="D646" s="14"/>
      <c r="E646" s="14"/>
      <c r="F646" s="14"/>
      <c r="G646" s="14"/>
      <c r="H646" s="14"/>
    </row>
    <row r="647">
      <c r="C647" s="14"/>
      <c r="D647" s="14"/>
      <c r="E647" s="14"/>
      <c r="F647" s="14"/>
      <c r="G647" s="14"/>
      <c r="H647" s="14"/>
    </row>
    <row r="648">
      <c r="C648" s="14"/>
      <c r="D648" s="14"/>
      <c r="E648" s="14"/>
      <c r="F648" s="14"/>
      <c r="G648" s="14"/>
      <c r="H648" s="14"/>
    </row>
    <row r="649">
      <c r="C649" s="14"/>
      <c r="D649" s="14"/>
      <c r="E649" s="14"/>
      <c r="F649" s="14"/>
      <c r="G649" s="14"/>
      <c r="H649" s="14"/>
    </row>
    <row r="650">
      <c r="C650" s="14"/>
      <c r="D650" s="14"/>
      <c r="E650" s="14"/>
      <c r="F650" s="14"/>
      <c r="G650" s="14"/>
      <c r="H650" s="14"/>
    </row>
    <row r="651">
      <c r="C651" s="14"/>
      <c r="D651" s="14"/>
      <c r="E651" s="14"/>
      <c r="F651" s="14"/>
      <c r="G651" s="14"/>
      <c r="H651" s="14"/>
    </row>
    <row r="652">
      <c r="C652" s="14"/>
      <c r="D652" s="14"/>
      <c r="E652" s="14"/>
      <c r="F652" s="14"/>
      <c r="G652" s="14"/>
      <c r="H652" s="14"/>
    </row>
    <row r="653">
      <c r="C653" s="14"/>
      <c r="D653" s="14"/>
      <c r="E653" s="14"/>
      <c r="F653" s="14"/>
      <c r="G653" s="14"/>
      <c r="H653" s="14"/>
    </row>
    <row r="654">
      <c r="C654" s="14"/>
      <c r="D654" s="14"/>
      <c r="E654" s="14"/>
      <c r="F654" s="14"/>
      <c r="G654" s="14"/>
      <c r="H654" s="14"/>
    </row>
    <row r="655">
      <c r="C655" s="14"/>
      <c r="D655" s="14"/>
      <c r="E655" s="14"/>
      <c r="F655" s="14"/>
      <c r="G655" s="14"/>
      <c r="H655" s="14"/>
    </row>
    <row r="656">
      <c r="C656" s="14"/>
      <c r="D656" s="14"/>
      <c r="E656" s="14"/>
      <c r="F656" s="14"/>
      <c r="G656" s="14"/>
      <c r="H656" s="14"/>
    </row>
    <row r="657">
      <c r="C657" s="14"/>
      <c r="D657" s="14"/>
      <c r="E657" s="14"/>
      <c r="F657" s="14"/>
      <c r="G657" s="14"/>
      <c r="H657" s="14"/>
    </row>
    <row r="658">
      <c r="C658" s="14"/>
      <c r="D658" s="14"/>
      <c r="E658" s="14"/>
      <c r="F658" s="14"/>
      <c r="G658" s="14"/>
      <c r="H658" s="14"/>
    </row>
    <row r="659">
      <c r="C659" s="14"/>
      <c r="D659" s="14"/>
      <c r="E659" s="14"/>
      <c r="F659" s="14"/>
      <c r="G659" s="14"/>
      <c r="H659" s="14"/>
    </row>
    <row r="660">
      <c r="C660" s="14"/>
      <c r="D660" s="14"/>
      <c r="E660" s="14"/>
      <c r="F660" s="14"/>
      <c r="G660" s="14"/>
      <c r="H660" s="14"/>
    </row>
    <row r="661">
      <c r="C661" s="14"/>
      <c r="D661" s="14"/>
      <c r="E661" s="14"/>
      <c r="F661" s="14"/>
      <c r="G661" s="14"/>
      <c r="H661" s="14"/>
    </row>
    <row r="662">
      <c r="C662" s="14"/>
      <c r="D662" s="14"/>
      <c r="E662" s="14"/>
      <c r="F662" s="14"/>
      <c r="G662" s="14"/>
      <c r="H662" s="14"/>
    </row>
    <row r="663">
      <c r="C663" s="14"/>
      <c r="D663" s="14"/>
      <c r="E663" s="14"/>
      <c r="F663" s="14"/>
      <c r="G663" s="14"/>
      <c r="H663" s="14"/>
    </row>
    <row r="664">
      <c r="C664" s="14"/>
      <c r="D664" s="14"/>
      <c r="E664" s="14"/>
      <c r="F664" s="14"/>
      <c r="G664" s="14"/>
      <c r="H664" s="14"/>
    </row>
    <row r="665">
      <c r="C665" s="14"/>
      <c r="D665" s="14"/>
      <c r="E665" s="14"/>
      <c r="F665" s="14"/>
      <c r="G665" s="14"/>
      <c r="H665" s="14"/>
    </row>
    <row r="666">
      <c r="C666" s="14"/>
      <c r="D666" s="14"/>
      <c r="E666" s="14"/>
      <c r="F666" s="14"/>
      <c r="G666" s="14"/>
      <c r="H666" s="14"/>
    </row>
    <row r="667">
      <c r="C667" s="14"/>
      <c r="D667" s="14"/>
      <c r="E667" s="14"/>
      <c r="F667" s="14"/>
      <c r="G667" s="14"/>
      <c r="H667" s="14"/>
    </row>
    <row r="668">
      <c r="C668" s="14"/>
      <c r="D668" s="14"/>
      <c r="E668" s="14"/>
      <c r="F668" s="14"/>
      <c r="G668" s="14"/>
      <c r="H668" s="14"/>
    </row>
    <row r="669">
      <c r="C669" s="14"/>
      <c r="D669" s="14"/>
      <c r="E669" s="14"/>
      <c r="F669" s="14"/>
      <c r="G669" s="14"/>
      <c r="H669" s="14"/>
    </row>
    <row r="670">
      <c r="C670" s="14"/>
      <c r="D670" s="14"/>
      <c r="E670" s="14"/>
      <c r="F670" s="14"/>
      <c r="G670" s="14"/>
      <c r="H670" s="14"/>
    </row>
    <row r="671">
      <c r="C671" s="14"/>
      <c r="D671" s="14"/>
      <c r="E671" s="14"/>
      <c r="F671" s="14"/>
      <c r="G671" s="14"/>
      <c r="H671" s="14"/>
    </row>
    <row r="672">
      <c r="C672" s="14"/>
      <c r="D672" s="14"/>
      <c r="E672" s="14"/>
      <c r="F672" s="14"/>
      <c r="G672" s="14"/>
      <c r="H672" s="14"/>
    </row>
    <row r="673">
      <c r="C673" s="14"/>
      <c r="D673" s="14"/>
      <c r="E673" s="14"/>
      <c r="F673" s="14"/>
      <c r="G673" s="14"/>
      <c r="H673" s="14"/>
    </row>
    <row r="674">
      <c r="C674" s="14"/>
      <c r="D674" s="14"/>
      <c r="E674" s="14"/>
      <c r="F674" s="14"/>
      <c r="G674" s="14"/>
      <c r="H674" s="14"/>
    </row>
    <row r="675">
      <c r="C675" s="14"/>
      <c r="D675" s="14"/>
      <c r="E675" s="14"/>
      <c r="F675" s="14"/>
      <c r="G675" s="14"/>
      <c r="H675" s="14"/>
    </row>
    <row r="676">
      <c r="C676" s="14"/>
      <c r="D676" s="14"/>
      <c r="E676" s="14"/>
      <c r="F676" s="14"/>
      <c r="G676" s="14"/>
      <c r="H676" s="14"/>
    </row>
    <row r="677">
      <c r="C677" s="14"/>
      <c r="D677" s="14"/>
      <c r="E677" s="14"/>
      <c r="F677" s="14"/>
      <c r="G677" s="14"/>
      <c r="H677" s="14"/>
    </row>
    <row r="678">
      <c r="C678" s="14"/>
      <c r="D678" s="14"/>
      <c r="E678" s="14"/>
      <c r="F678" s="14"/>
      <c r="G678" s="14"/>
      <c r="H678" s="14"/>
    </row>
    <row r="679">
      <c r="C679" s="14"/>
      <c r="D679" s="14"/>
      <c r="E679" s="14"/>
      <c r="F679" s="14"/>
      <c r="G679" s="14"/>
      <c r="H679" s="14"/>
    </row>
    <row r="680">
      <c r="C680" s="14"/>
      <c r="D680" s="14"/>
      <c r="E680" s="14"/>
      <c r="F680" s="14"/>
      <c r="G680" s="14"/>
      <c r="H680" s="14"/>
    </row>
    <row r="681">
      <c r="C681" s="14"/>
      <c r="D681" s="14"/>
      <c r="E681" s="14"/>
      <c r="F681" s="14"/>
      <c r="G681" s="14"/>
      <c r="H681" s="14"/>
    </row>
    <row r="682">
      <c r="C682" s="14"/>
      <c r="D682" s="14"/>
      <c r="E682" s="14"/>
      <c r="F682" s="14"/>
      <c r="G682" s="14"/>
      <c r="H682" s="14"/>
    </row>
    <row r="683">
      <c r="C683" s="14"/>
      <c r="D683" s="14"/>
      <c r="E683" s="14"/>
      <c r="F683" s="14"/>
      <c r="G683" s="14"/>
      <c r="H683" s="14"/>
    </row>
    <row r="684">
      <c r="C684" s="14"/>
      <c r="D684" s="14"/>
      <c r="E684" s="14"/>
      <c r="F684" s="14"/>
      <c r="G684" s="14"/>
      <c r="H684" s="14"/>
    </row>
    <row r="685">
      <c r="C685" s="14"/>
      <c r="D685" s="14"/>
      <c r="E685" s="14"/>
      <c r="F685" s="14"/>
      <c r="G685" s="14"/>
      <c r="H685" s="14"/>
    </row>
    <row r="686">
      <c r="C686" s="14"/>
      <c r="D686" s="14"/>
      <c r="E686" s="14"/>
      <c r="F686" s="14"/>
      <c r="G686" s="14"/>
      <c r="H686" s="14"/>
    </row>
    <row r="687">
      <c r="C687" s="14"/>
      <c r="D687" s="14"/>
      <c r="E687" s="14"/>
      <c r="F687" s="14"/>
      <c r="G687" s="14"/>
      <c r="H687" s="14"/>
    </row>
    <row r="688">
      <c r="C688" s="14"/>
      <c r="D688" s="14"/>
      <c r="E688" s="14"/>
      <c r="F688" s="14"/>
      <c r="G688" s="14"/>
      <c r="H688" s="14"/>
    </row>
    <row r="689">
      <c r="C689" s="14"/>
      <c r="D689" s="14"/>
      <c r="E689" s="14"/>
      <c r="F689" s="14"/>
      <c r="G689" s="14"/>
      <c r="H689" s="14"/>
    </row>
    <row r="690">
      <c r="C690" s="14"/>
      <c r="D690" s="14"/>
      <c r="E690" s="14"/>
      <c r="F690" s="14"/>
      <c r="G690" s="14"/>
      <c r="H690" s="14"/>
    </row>
    <row r="691">
      <c r="C691" s="14"/>
      <c r="D691" s="14"/>
      <c r="E691" s="14"/>
      <c r="F691" s="14"/>
      <c r="G691" s="14"/>
      <c r="H691" s="14"/>
    </row>
    <row r="692">
      <c r="C692" s="14"/>
      <c r="D692" s="14"/>
      <c r="E692" s="14"/>
      <c r="F692" s="14"/>
      <c r="G692" s="14"/>
      <c r="H692" s="14"/>
    </row>
    <row r="693">
      <c r="C693" s="14"/>
      <c r="D693" s="14"/>
      <c r="E693" s="14"/>
      <c r="F693" s="14"/>
      <c r="G693" s="14"/>
      <c r="H693" s="14"/>
    </row>
    <row r="694">
      <c r="C694" s="14"/>
      <c r="D694" s="14"/>
      <c r="E694" s="14"/>
      <c r="F694" s="14"/>
      <c r="G694" s="14"/>
      <c r="H694" s="14"/>
    </row>
    <row r="695">
      <c r="C695" s="14"/>
      <c r="D695" s="14"/>
      <c r="E695" s="14"/>
      <c r="F695" s="14"/>
      <c r="G695" s="14"/>
      <c r="H695" s="14"/>
    </row>
    <row r="696">
      <c r="C696" s="14"/>
      <c r="D696" s="14"/>
      <c r="E696" s="14"/>
      <c r="F696" s="14"/>
      <c r="G696" s="14"/>
      <c r="H696" s="14"/>
    </row>
    <row r="697">
      <c r="C697" s="14"/>
      <c r="D697" s="14"/>
      <c r="E697" s="14"/>
      <c r="F697" s="14"/>
      <c r="G697" s="14"/>
      <c r="H697" s="14"/>
    </row>
    <row r="698">
      <c r="C698" s="14"/>
      <c r="D698" s="14"/>
      <c r="E698" s="14"/>
      <c r="F698" s="14"/>
      <c r="G698" s="14"/>
      <c r="H698" s="14"/>
    </row>
    <row r="699">
      <c r="C699" s="14"/>
      <c r="D699" s="14"/>
      <c r="E699" s="14"/>
      <c r="F699" s="14"/>
      <c r="G699" s="14"/>
      <c r="H699" s="14"/>
    </row>
    <row r="700">
      <c r="C700" s="14"/>
      <c r="D700" s="14"/>
      <c r="E700" s="14"/>
      <c r="F700" s="14"/>
      <c r="G700" s="14"/>
      <c r="H700" s="14"/>
    </row>
    <row r="701">
      <c r="C701" s="14"/>
      <c r="D701" s="14"/>
      <c r="E701" s="14"/>
      <c r="F701" s="14"/>
      <c r="G701" s="14"/>
      <c r="H701" s="14"/>
    </row>
    <row r="702">
      <c r="C702" s="14"/>
      <c r="D702" s="14"/>
      <c r="E702" s="14"/>
      <c r="F702" s="14"/>
      <c r="G702" s="14"/>
      <c r="H702" s="14"/>
    </row>
    <row r="703">
      <c r="C703" s="14"/>
      <c r="D703" s="14"/>
      <c r="E703" s="14"/>
      <c r="F703" s="14"/>
      <c r="G703" s="14"/>
      <c r="H703" s="14"/>
    </row>
    <row r="704">
      <c r="C704" s="14"/>
      <c r="D704" s="14"/>
      <c r="E704" s="14"/>
      <c r="F704" s="14"/>
      <c r="G704" s="14"/>
      <c r="H704" s="14"/>
    </row>
    <row r="705">
      <c r="C705" s="14"/>
      <c r="D705" s="14"/>
      <c r="E705" s="14"/>
      <c r="F705" s="14"/>
      <c r="G705" s="14"/>
      <c r="H705" s="14"/>
    </row>
    <row r="706">
      <c r="C706" s="14"/>
      <c r="D706" s="14"/>
      <c r="E706" s="14"/>
      <c r="F706" s="14"/>
      <c r="G706" s="14"/>
      <c r="H706" s="14"/>
    </row>
    <row r="707">
      <c r="C707" s="14"/>
      <c r="D707" s="14"/>
      <c r="E707" s="14"/>
      <c r="F707" s="14"/>
      <c r="G707" s="14"/>
      <c r="H707" s="14"/>
    </row>
    <row r="708">
      <c r="C708" s="14"/>
      <c r="D708" s="14"/>
      <c r="E708" s="14"/>
      <c r="F708" s="14"/>
      <c r="G708" s="14"/>
      <c r="H708" s="14"/>
    </row>
    <row r="709">
      <c r="C709" s="14"/>
      <c r="D709" s="14"/>
      <c r="E709" s="14"/>
      <c r="F709" s="14"/>
      <c r="G709" s="14"/>
      <c r="H709" s="14"/>
    </row>
    <row r="710">
      <c r="C710" s="14"/>
      <c r="D710" s="14"/>
      <c r="E710" s="14"/>
      <c r="F710" s="14"/>
      <c r="G710" s="14"/>
      <c r="H710" s="14"/>
    </row>
    <row r="711">
      <c r="C711" s="14"/>
      <c r="D711" s="14"/>
      <c r="E711" s="14"/>
      <c r="F711" s="14"/>
      <c r="G711" s="14"/>
      <c r="H711" s="14"/>
    </row>
    <row r="712">
      <c r="C712" s="14"/>
      <c r="D712" s="14"/>
      <c r="E712" s="14"/>
      <c r="F712" s="14"/>
      <c r="G712" s="14"/>
      <c r="H712" s="14"/>
    </row>
    <row r="713">
      <c r="C713" s="14"/>
      <c r="D713" s="14"/>
      <c r="E713" s="14"/>
      <c r="F713" s="14"/>
      <c r="G713" s="14"/>
      <c r="H713" s="14"/>
    </row>
    <row r="714">
      <c r="C714" s="14"/>
      <c r="D714" s="14"/>
      <c r="E714" s="14"/>
      <c r="F714" s="14"/>
      <c r="G714" s="14"/>
      <c r="H714" s="14"/>
    </row>
    <row r="715">
      <c r="C715" s="14"/>
      <c r="D715" s="14"/>
      <c r="E715" s="14"/>
      <c r="F715" s="14"/>
      <c r="G715" s="14"/>
      <c r="H715" s="14"/>
    </row>
    <row r="716">
      <c r="C716" s="14"/>
      <c r="D716" s="14"/>
      <c r="E716" s="14"/>
      <c r="F716" s="14"/>
      <c r="G716" s="14"/>
      <c r="H716" s="14"/>
    </row>
    <row r="717">
      <c r="C717" s="14"/>
      <c r="D717" s="14"/>
      <c r="E717" s="14"/>
      <c r="F717" s="14"/>
      <c r="G717" s="14"/>
      <c r="H717" s="14"/>
    </row>
    <row r="718">
      <c r="C718" s="14"/>
      <c r="D718" s="14"/>
      <c r="E718" s="14"/>
      <c r="F718" s="14"/>
      <c r="G718" s="14"/>
      <c r="H718" s="14"/>
    </row>
    <row r="719">
      <c r="C719" s="14"/>
      <c r="D719" s="14"/>
      <c r="E719" s="14"/>
      <c r="F719" s="14"/>
      <c r="G719" s="14"/>
      <c r="H719" s="14"/>
    </row>
    <row r="720">
      <c r="C720" s="14"/>
      <c r="D720" s="14"/>
      <c r="E720" s="14"/>
      <c r="F720" s="14"/>
      <c r="G720" s="14"/>
      <c r="H720" s="14"/>
    </row>
    <row r="721">
      <c r="C721" s="14"/>
      <c r="D721" s="14"/>
      <c r="E721" s="14"/>
      <c r="F721" s="14"/>
      <c r="G721" s="14"/>
      <c r="H721" s="14"/>
    </row>
    <row r="722">
      <c r="C722" s="14"/>
      <c r="D722" s="14"/>
      <c r="E722" s="14"/>
      <c r="F722" s="14"/>
      <c r="G722" s="14"/>
      <c r="H722" s="14"/>
    </row>
    <row r="723">
      <c r="C723" s="14"/>
      <c r="D723" s="14"/>
      <c r="E723" s="14"/>
      <c r="F723" s="14"/>
      <c r="G723" s="14"/>
      <c r="H723" s="14"/>
    </row>
    <row r="724">
      <c r="C724" s="14"/>
      <c r="D724" s="14"/>
      <c r="E724" s="14"/>
      <c r="F724" s="14"/>
      <c r="G724" s="14"/>
      <c r="H724" s="14"/>
    </row>
    <row r="725">
      <c r="C725" s="14"/>
      <c r="D725" s="14"/>
      <c r="E725" s="14"/>
      <c r="F725" s="14"/>
      <c r="G725" s="14"/>
      <c r="H725" s="14"/>
    </row>
    <row r="726">
      <c r="C726" s="14"/>
      <c r="D726" s="14"/>
      <c r="E726" s="14"/>
      <c r="F726" s="14"/>
      <c r="G726" s="14"/>
      <c r="H726" s="14"/>
    </row>
    <row r="727">
      <c r="C727" s="14"/>
      <c r="D727" s="14"/>
      <c r="E727" s="14"/>
      <c r="F727" s="14"/>
      <c r="G727" s="14"/>
      <c r="H727" s="14"/>
    </row>
    <row r="728">
      <c r="C728" s="14"/>
      <c r="D728" s="14"/>
      <c r="E728" s="14"/>
      <c r="F728" s="14"/>
      <c r="G728" s="14"/>
      <c r="H728" s="14"/>
    </row>
    <row r="729">
      <c r="C729" s="14"/>
      <c r="D729" s="14"/>
      <c r="E729" s="14"/>
      <c r="F729" s="14"/>
      <c r="G729" s="14"/>
      <c r="H729" s="14"/>
    </row>
    <row r="730">
      <c r="C730" s="14"/>
      <c r="D730" s="14"/>
      <c r="E730" s="14"/>
      <c r="F730" s="14"/>
      <c r="G730" s="14"/>
      <c r="H730" s="14"/>
    </row>
    <row r="731">
      <c r="C731" s="14"/>
      <c r="D731" s="14"/>
      <c r="E731" s="14"/>
      <c r="F731" s="14"/>
      <c r="G731" s="14"/>
      <c r="H731" s="14"/>
    </row>
    <row r="732">
      <c r="C732" s="14"/>
      <c r="D732" s="14"/>
      <c r="E732" s="14"/>
      <c r="F732" s="14"/>
      <c r="G732" s="14"/>
      <c r="H732" s="14"/>
    </row>
    <row r="733">
      <c r="C733" s="14"/>
      <c r="D733" s="14"/>
      <c r="E733" s="14"/>
      <c r="F733" s="14"/>
      <c r="G733" s="14"/>
      <c r="H733" s="14"/>
    </row>
    <row r="734">
      <c r="C734" s="14"/>
      <c r="D734" s="14"/>
      <c r="E734" s="14"/>
      <c r="F734" s="14"/>
      <c r="G734" s="14"/>
      <c r="H734" s="14"/>
    </row>
    <row r="735">
      <c r="C735" s="14"/>
      <c r="D735" s="14"/>
      <c r="E735" s="14"/>
      <c r="F735" s="14"/>
      <c r="G735" s="14"/>
      <c r="H735" s="14"/>
    </row>
    <row r="736">
      <c r="C736" s="14"/>
      <c r="D736" s="14"/>
      <c r="E736" s="14"/>
      <c r="F736" s="14"/>
      <c r="G736" s="14"/>
      <c r="H736" s="14"/>
    </row>
    <row r="737">
      <c r="C737" s="14"/>
      <c r="D737" s="14"/>
      <c r="E737" s="14"/>
      <c r="F737" s="14"/>
      <c r="G737" s="14"/>
      <c r="H737" s="14"/>
    </row>
    <row r="738">
      <c r="C738" s="14"/>
      <c r="D738" s="14"/>
      <c r="E738" s="14"/>
      <c r="F738" s="14"/>
      <c r="G738" s="14"/>
      <c r="H738" s="14"/>
    </row>
    <row r="739">
      <c r="C739" s="14"/>
      <c r="D739" s="14"/>
      <c r="E739" s="14"/>
      <c r="F739" s="14"/>
      <c r="G739" s="14"/>
      <c r="H739" s="14"/>
    </row>
    <row r="740">
      <c r="C740" s="14"/>
      <c r="D740" s="14"/>
      <c r="E740" s="14"/>
      <c r="F740" s="14"/>
      <c r="G740" s="14"/>
      <c r="H740" s="14"/>
    </row>
    <row r="741">
      <c r="C741" s="14"/>
      <c r="D741" s="14"/>
      <c r="E741" s="14"/>
      <c r="F741" s="14"/>
      <c r="G741" s="14"/>
      <c r="H741" s="14"/>
    </row>
    <row r="742">
      <c r="C742" s="14"/>
      <c r="D742" s="14"/>
      <c r="E742" s="14"/>
      <c r="F742" s="14"/>
      <c r="G742" s="14"/>
      <c r="H742" s="14"/>
    </row>
    <row r="743">
      <c r="C743" s="14"/>
      <c r="D743" s="14"/>
      <c r="E743" s="14"/>
      <c r="F743" s="14"/>
      <c r="G743" s="14"/>
      <c r="H743" s="14"/>
    </row>
    <row r="744">
      <c r="C744" s="14"/>
      <c r="D744" s="14"/>
      <c r="E744" s="14"/>
      <c r="F744" s="14"/>
      <c r="G744" s="14"/>
      <c r="H744" s="14"/>
    </row>
    <row r="745">
      <c r="C745" s="14"/>
      <c r="D745" s="14"/>
      <c r="E745" s="14"/>
      <c r="F745" s="14"/>
      <c r="G745" s="14"/>
      <c r="H745" s="14"/>
    </row>
    <row r="746">
      <c r="C746" s="14"/>
      <c r="D746" s="14"/>
      <c r="E746" s="14"/>
      <c r="F746" s="14"/>
      <c r="G746" s="14"/>
      <c r="H746" s="14"/>
    </row>
    <row r="747">
      <c r="C747" s="14"/>
      <c r="D747" s="14"/>
      <c r="E747" s="14"/>
      <c r="F747" s="14"/>
      <c r="G747" s="14"/>
      <c r="H747" s="14"/>
    </row>
    <row r="748">
      <c r="C748" s="14"/>
      <c r="D748" s="14"/>
      <c r="E748" s="14"/>
      <c r="F748" s="14"/>
      <c r="G748" s="14"/>
      <c r="H748" s="14"/>
    </row>
    <row r="749">
      <c r="C749" s="14"/>
      <c r="D749" s="14"/>
      <c r="E749" s="14"/>
      <c r="F749" s="14"/>
      <c r="G749" s="14"/>
      <c r="H749" s="14"/>
    </row>
    <row r="750">
      <c r="C750" s="14"/>
      <c r="D750" s="14"/>
      <c r="E750" s="14"/>
      <c r="F750" s="14"/>
      <c r="G750" s="14"/>
      <c r="H750" s="14"/>
    </row>
    <row r="751">
      <c r="C751" s="14"/>
      <c r="D751" s="14"/>
      <c r="E751" s="14"/>
      <c r="F751" s="14"/>
      <c r="G751" s="14"/>
      <c r="H751" s="14"/>
    </row>
    <row r="752">
      <c r="C752" s="14"/>
      <c r="D752" s="14"/>
      <c r="E752" s="14"/>
      <c r="F752" s="14"/>
      <c r="G752" s="14"/>
      <c r="H752" s="14"/>
    </row>
    <row r="753">
      <c r="C753" s="14"/>
      <c r="D753" s="14"/>
      <c r="E753" s="14"/>
      <c r="F753" s="14"/>
      <c r="G753" s="14"/>
      <c r="H753" s="14"/>
    </row>
    <row r="754">
      <c r="C754" s="14"/>
      <c r="D754" s="14"/>
      <c r="E754" s="14"/>
      <c r="F754" s="14"/>
      <c r="G754" s="14"/>
      <c r="H754" s="14"/>
    </row>
    <row r="755">
      <c r="C755" s="14"/>
      <c r="D755" s="14"/>
      <c r="E755" s="14"/>
      <c r="F755" s="14"/>
      <c r="G755" s="14"/>
      <c r="H755" s="14"/>
    </row>
    <row r="756">
      <c r="C756" s="14"/>
      <c r="D756" s="14"/>
      <c r="E756" s="14"/>
      <c r="F756" s="14"/>
      <c r="G756" s="14"/>
      <c r="H756" s="14"/>
    </row>
    <row r="757">
      <c r="C757" s="14"/>
      <c r="D757" s="14"/>
      <c r="E757" s="14"/>
      <c r="F757" s="14"/>
      <c r="G757" s="14"/>
      <c r="H757" s="14"/>
    </row>
    <row r="758">
      <c r="C758" s="14"/>
      <c r="D758" s="14"/>
      <c r="E758" s="14"/>
      <c r="F758" s="14"/>
      <c r="G758" s="14"/>
      <c r="H758" s="14"/>
    </row>
    <row r="759">
      <c r="C759" s="14"/>
      <c r="D759" s="14"/>
      <c r="E759" s="14"/>
      <c r="F759" s="14"/>
      <c r="G759" s="14"/>
      <c r="H759" s="14"/>
    </row>
    <row r="760">
      <c r="C760" s="14"/>
      <c r="D760" s="14"/>
      <c r="E760" s="14"/>
      <c r="F760" s="14"/>
      <c r="G760" s="14"/>
      <c r="H760" s="14"/>
    </row>
    <row r="761">
      <c r="C761" s="14"/>
      <c r="D761" s="14"/>
      <c r="E761" s="14"/>
      <c r="F761" s="14"/>
      <c r="G761" s="14"/>
      <c r="H761" s="14"/>
    </row>
    <row r="762">
      <c r="C762" s="14"/>
      <c r="D762" s="14"/>
      <c r="E762" s="14"/>
      <c r="F762" s="14"/>
      <c r="G762" s="14"/>
      <c r="H762" s="14"/>
    </row>
    <row r="763">
      <c r="C763" s="14"/>
      <c r="D763" s="14"/>
      <c r="E763" s="14"/>
      <c r="F763" s="14"/>
      <c r="G763" s="14"/>
      <c r="H763" s="14"/>
    </row>
    <row r="764">
      <c r="C764" s="14"/>
      <c r="D764" s="14"/>
      <c r="E764" s="14"/>
      <c r="F764" s="14"/>
      <c r="G764" s="14"/>
      <c r="H764" s="14"/>
    </row>
    <row r="765">
      <c r="C765" s="14"/>
      <c r="D765" s="14"/>
      <c r="E765" s="14"/>
      <c r="F765" s="14"/>
      <c r="G765" s="14"/>
      <c r="H765" s="14"/>
    </row>
    <row r="766">
      <c r="C766" s="14"/>
      <c r="D766" s="14"/>
      <c r="E766" s="14"/>
      <c r="F766" s="14"/>
      <c r="G766" s="14"/>
      <c r="H766" s="14"/>
    </row>
    <row r="767">
      <c r="C767" s="14"/>
      <c r="D767" s="14"/>
      <c r="E767" s="14"/>
      <c r="F767" s="14"/>
      <c r="G767" s="14"/>
      <c r="H767" s="14"/>
    </row>
    <row r="768">
      <c r="C768" s="14"/>
      <c r="D768" s="14"/>
      <c r="E768" s="14"/>
      <c r="F768" s="14"/>
      <c r="G768" s="14"/>
      <c r="H768" s="14"/>
    </row>
    <row r="769">
      <c r="C769" s="14"/>
      <c r="D769" s="14"/>
      <c r="E769" s="14"/>
      <c r="F769" s="14"/>
      <c r="G769" s="14"/>
      <c r="H769" s="14"/>
    </row>
    <row r="770">
      <c r="C770" s="14"/>
      <c r="D770" s="14"/>
      <c r="E770" s="14"/>
      <c r="F770" s="14"/>
      <c r="G770" s="14"/>
      <c r="H770" s="14"/>
    </row>
    <row r="771">
      <c r="C771" s="14"/>
      <c r="D771" s="14"/>
      <c r="E771" s="14"/>
      <c r="F771" s="14"/>
      <c r="G771" s="14"/>
      <c r="H771" s="14"/>
    </row>
    <row r="772">
      <c r="C772" s="14"/>
      <c r="D772" s="14"/>
      <c r="E772" s="14"/>
      <c r="F772" s="14"/>
      <c r="G772" s="14"/>
      <c r="H772" s="14"/>
    </row>
    <row r="773">
      <c r="C773" s="14"/>
      <c r="D773" s="14"/>
      <c r="E773" s="14"/>
      <c r="F773" s="14"/>
      <c r="G773" s="14"/>
      <c r="H773" s="14"/>
    </row>
    <row r="774">
      <c r="C774" s="14"/>
      <c r="D774" s="14"/>
      <c r="E774" s="14"/>
      <c r="F774" s="14"/>
      <c r="G774" s="14"/>
      <c r="H774" s="14"/>
    </row>
    <row r="775">
      <c r="C775" s="14"/>
      <c r="D775" s="14"/>
      <c r="E775" s="14"/>
      <c r="F775" s="14"/>
      <c r="G775" s="14"/>
      <c r="H775" s="14"/>
    </row>
    <row r="776">
      <c r="C776" s="14"/>
      <c r="D776" s="14"/>
      <c r="E776" s="14"/>
      <c r="F776" s="14"/>
      <c r="G776" s="14"/>
      <c r="H776" s="14"/>
    </row>
    <row r="777">
      <c r="C777" s="14"/>
      <c r="D777" s="14"/>
      <c r="E777" s="14"/>
      <c r="F777" s="14"/>
      <c r="G777" s="14"/>
      <c r="H777" s="14"/>
    </row>
    <row r="778">
      <c r="C778" s="14"/>
      <c r="D778" s="14"/>
      <c r="E778" s="14"/>
      <c r="F778" s="14"/>
      <c r="G778" s="14"/>
      <c r="H778" s="14"/>
    </row>
    <row r="779">
      <c r="C779" s="14"/>
      <c r="D779" s="14"/>
      <c r="E779" s="14"/>
      <c r="F779" s="14"/>
      <c r="G779" s="14"/>
      <c r="H779" s="14"/>
    </row>
    <row r="780">
      <c r="C780" s="14"/>
      <c r="D780" s="14"/>
      <c r="E780" s="14"/>
      <c r="F780" s="14"/>
      <c r="G780" s="14"/>
      <c r="H780" s="14"/>
    </row>
    <row r="781">
      <c r="C781" s="14"/>
      <c r="D781" s="14"/>
      <c r="E781" s="14"/>
      <c r="F781" s="14"/>
      <c r="G781" s="14"/>
      <c r="H781" s="14"/>
    </row>
    <row r="782">
      <c r="C782" s="14"/>
      <c r="D782" s="14"/>
      <c r="E782" s="14"/>
      <c r="F782" s="14"/>
      <c r="G782" s="14"/>
      <c r="H782" s="14"/>
    </row>
    <row r="783">
      <c r="C783" s="14"/>
      <c r="D783" s="14"/>
      <c r="E783" s="14"/>
      <c r="F783" s="14"/>
      <c r="G783" s="14"/>
      <c r="H783" s="14"/>
    </row>
    <row r="784">
      <c r="C784" s="14"/>
      <c r="D784" s="14"/>
      <c r="E784" s="14"/>
      <c r="F784" s="14"/>
      <c r="G784" s="14"/>
      <c r="H784" s="14"/>
    </row>
    <row r="785">
      <c r="C785" s="14"/>
      <c r="D785" s="14"/>
      <c r="E785" s="14"/>
      <c r="F785" s="14"/>
      <c r="G785" s="14"/>
      <c r="H785" s="14"/>
    </row>
    <row r="786">
      <c r="C786" s="14"/>
      <c r="D786" s="14"/>
      <c r="E786" s="14"/>
      <c r="F786" s="14"/>
      <c r="G786" s="14"/>
      <c r="H786" s="14"/>
    </row>
    <row r="787">
      <c r="C787" s="14"/>
      <c r="D787" s="14"/>
      <c r="E787" s="14"/>
      <c r="F787" s="14"/>
      <c r="G787" s="14"/>
      <c r="H787" s="14"/>
    </row>
    <row r="788">
      <c r="C788" s="14"/>
      <c r="D788" s="14"/>
      <c r="E788" s="14"/>
      <c r="F788" s="14"/>
      <c r="G788" s="14"/>
      <c r="H788" s="14"/>
    </row>
    <row r="789">
      <c r="C789" s="14"/>
      <c r="D789" s="14"/>
      <c r="E789" s="14"/>
      <c r="F789" s="14"/>
      <c r="G789" s="14"/>
      <c r="H789" s="14"/>
    </row>
    <row r="790">
      <c r="C790" s="14"/>
      <c r="D790" s="14"/>
      <c r="E790" s="14"/>
      <c r="F790" s="14"/>
      <c r="G790" s="14"/>
      <c r="H790" s="14"/>
    </row>
    <row r="791">
      <c r="C791" s="14"/>
      <c r="D791" s="14"/>
      <c r="E791" s="14"/>
      <c r="F791" s="14"/>
      <c r="G791" s="14"/>
      <c r="H791" s="14"/>
    </row>
    <row r="792">
      <c r="C792" s="14"/>
      <c r="D792" s="14"/>
      <c r="E792" s="14"/>
      <c r="F792" s="14"/>
      <c r="G792" s="14"/>
      <c r="H792" s="14"/>
    </row>
    <row r="793">
      <c r="C793" s="14"/>
      <c r="D793" s="14"/>
      <c r="E793" s="14"/>
      <c r="F793" s="14"/>
      <c r="G793" s="14"/>
      <c r="H793" s="14"/>
    </row>
    <row r="794">
      <c r="C794" s="14"/>
      <c r="D794" s="14"/>
      <c r="E794" s="14"/>
      <c r="F794" s="14"/>
      <c r="G794" s="14"/>
      <c r="H794" s="14"/>
    </row>
    <row r="795">
      <c r="C795" s="14"/>
      <c r="D795" s="14"/>
      <c r="E795" s="14"/>
      <c r="F795" s="14"/>
      <c r="G795" s="14"/>
      <c r="H795" s="14"/>
    </row>
    <row r="796">
      <c r="C796" s="14"/>
      <c r="D796" s="14"/>
      <c r="E796" s="14"/>
      <c r="F796" s="14"/>
      <c r="G796" s="14"/>
      <c r="H796" s="14"/>
    </row>
    <row r="797">
      <c r="C797" s="14"/>
      <c r="D797" s="14"/>
      <c r="E797" s="14"/>
      <c r="F797" s="14"/>
      <c r="G797" s="14"/>
      <c r="H797" s="14"/>
    </row>
    <row r="798">
      <c r="C798" s="14"/>
      <c r="D798" s="14"/>
      <c r="E798" s="14"/>
      <c r="F798" s="14"/>
      <c r="G798" s="14"/>
      <c r="H798" s="14"/>
    </row>
    <row r="799">
      <c r="C799" s="14"/>
      <c r="D799" s="14"/>
      <c r="E799" s="14"/>
      <c r="F799" s="14"/>
      <c r="G799" s="14"/>
      <c r="H799" s="14"/>
    </row>
    <row r="800">
      <c r="C800" s="14"/>
      <c r="D800" s="14"/>
      <c r="E800" s="14"/>
      <c r="F800" s="14"/>
      <c r="G800" s="14"/>
      <c r="H800" s="14"/>
    </row>
    <row r="801">
      <c r="C801" s="14"/>
      <c r="D801" s="14"/>
      <c r="E801" s="14"/>
      <c r="F801" s="14"/>
      <c r="G801" s="14"/>
      <c r="H801" s="14"/>
    </row>
    <row r="802">
      <c r="C802" s="14"/>
      <c r="D802" s="14"/>
      <c r="E802" s="14"/>
      <c r="F802" s="14"/>
      <c r="G802" s="14"/>
      <c r="H802" s="14"/>
    </row>
    <row r="803">
      <c r="C803" s="14"/>
      <c r="D803" s="14"/>
      <c r="E803" s="14"/>
      <c r="F803" s="14"/>
      <c r="G803" s="14"/>
      <c r="H803" s="14"/>
    </row>
    <row r="804">
      <c r="C804" s="14"/>
      <c r="D804" s="14"/>
      <c r="E804" s="14"/>
      <c r="F804" s="14"/>
      <c r="G804" s="14"/>
      <c r="H804" s="14"/>
    </row>
    <row r="805">
      <c r="C805" s="14"/>
      <c r="D805" s="14"/>
      <c r="E805" s="14"/>
      <c r="F805" s="14"/>
      <c r="G805" s="14"/>
      <c r="H805" s="14"/>
    </row>
    <row r="806">
      <c r="C806" s="14"/>
      <c r="D806" s="14"/>
      <c r="E806" s="14"/>
      <c r="F806" s="14"/>
      <c r="G806" s="14"/>
      <c r="H806" s="14"/>
    </row>
    <row r="807">
      <c r="C807" s="14"/>
      <c r="D807" s="14"/>
      <c r="E807" s="14"/>
      <c r="F807" s="14"/>
      <c r="G807" s="14"/>
      <c r="H807" s="14"/>
    </row>
    <row r="808">
      <c r="C808" s="14"/>
      <c r="D808" s="14"/>
      <c r="E808" s="14"/>
      <c r="F808" s="14"/>
      <c r="G808" s="14"/>
      <c r="H808" s="14"/>
    </row>
    <row r="809">
      <c r="C809" s="14"/>
      <c r="D809" s="14"/>
      <c r="E809" s="14"/>
      <c r="F809" s="14"/>
      <c r="G809" s="14"/>
      <c r="H809" s="14"/>
    </row>
    <row r="810">
      <c r="C810" s="14"/>
      <c r="D810" s="14"/>
      <c r="E810" s="14"/>
      <c r="F810" s="14"/>
      <c r="G810" s="14"/>
      <c r="H810" s="14"/>
    </row>
    <row r="811">
      <c r="C811" s="14"/>
      <c r="D811" s="14"/>
      <c r="E811" s="14"/>
      <c r="F811" s="14"/>
      <c r="G811" s="14"/>
      <c r="H811" s="14"/>
    </row>
    <row r="812">
      <c r="C812" s="14"/>
      <c r="D812" s="14"/>
      <c r="E812" s="14"/>
      <c r="F812" s="14"/>
      <c r="G812" s="14"/>
      <c r="H812" s="14"/>
    </row>
    <row r="813">
      <c r="C813" s="14"/>
      <c r="D813" s="14"/>
      <c r="E813" s="14"/>
      <c r="F813" s="14"/>
      <c r="G813" s="14"/>
      <c r="H813" s="14"/>
    </row>
    <row r="814">
      <c r="C814" s="14"/>
      <c r="D814" s="14"/>
      <c r="E814" s="14"/>
      <c r="F814" s="14"/>
      <c r="G814" s="14"/>
      <c r="H814" s="14"/>
    </row>
    <row r="815">
      <c r="C815" s="14"/>
      <c r="D815" s="14"/>
      <c r="E815" s="14"/>
      <c r="F815" s="14"/>
      <c r="G815" s="14"/>
      <c r="H815" s="14"/>
    </row>
    <row r="816">
      <c r="C816" s="14"/>
      <c r="D816" s="14"/>
      <c r="E816" s="14"/>
      <c r="F816" s="14"/>
      <c r="G816" s="14"/>
      <c r="H816" s="14"/>
    </row>
    <row r="817">
      <c r="C817" s="14"/>
      <c r="D817" s="14"/>
      <c r="E817" s="14"/>
      <c r="F817" s="14"/>
      <c r="G817" s="14"/>
      <c r="H817" s="14"/>
    </row>
    <row r="818">
      <c r="C818" s="14"/>
      <c r="D818" s="14"/>
      <c r="E818" s="14"/>
      <c r="F818" s="14"/>
      <c r="G818" s="14"/>
      <c r="H818" s="14"/>
    </row>
    <row r="819">
      <c r="C819" s="14"/>
      <c r="D819" s="14"/>
      <c r="E819" s="14"/>
      <c r="F819" s="14"/>
      <c r="G819" s="14"/>
      <c r="H819" s="14"/>
    </row>
    <row r="820">
      <c r="C820" s="14"/>
      <c r="D820" s="14"/>
      <c r="E820" s="14"/>
      <c r="F820" s="14"/>
      <c r="G820" s="14"/>
      <c r="H820" s="14"/>
    </row>
    <row r="821">
      <c r="C821" s="14"/>
      <c r="D821" s="14"/>
      <c r="E821" s="14"/>
      <c r="F821" s="14"/>
      <c r="G821" s="14"/>
      <c r="H821" s="14"/>
    </row>
    <row r="822">
      <c r="C822" s="14"/>
      <c r="D822" s="14"/>
      <c r="E822" s="14"/>
      <c r="F822" s="14"/>
      <c r="G822" s="14"/>
      <c r="H822" s="14"/>
    </row>
    <row r="823">
      <c r="C823" s="14"/>
      <c r="D823" s="14"/>
      <c r="E823" s="14"/>
      <c r="F823" s="14"/>
      <c r="G823" s="14"/>
      <c r="H823" s="14"/>
    </row>
    <row r="824">
      <c r="C824" s="14"/>
      <c r="D824" s="14"/>
      <c r="E824" s="14"/>
      <c r="F824" s="14"/>
      <c r="G824" s="14"/>
      <c r="H824" s="14"/>
    </row>
    <row r="825">
      <c r="C825" s="14"/>
      <c r="D825" s="14"/>
      <c r="E825" s="14"/>
      <c r="F825" s="14"/>
      <c r="G825" s="14"/>
      <c r="H825" s="14"/>
    </row>
    <row r="826">
      <c r="C826" s="14"/>
      <c r="D826" s="14"/>
      <c r="E826" s="14"/>
      <c r="F826" s="14"/>
      <c r="G826" s="14"/>
      <c r="H826" s="14"/>
    </row>
    <row r="827">
      <c r="C827" s="14"/>
      <c r="D827" s="14"/>
      <c r="E827" s="14"/>
      <c r="F827" s="14"/>
      <c r="G827" s="14"/>
      <c r="H827" s="14"/>
    </row>
    <row r="828">
      <c r="C828" s="14"/>
      <c r="D828" s="14"/>
      <c r="E828" s="14"/>
      <c r="F828" s="14"/>
      <c r="G828" s="14"/>
      <c r="H828" s="14"/>
    </row>
    <row r="829">
      <c r="C829" s="14"/>
      <c r="D829" s="14"/>
      <c r="E829" s="14"/>
      <c r="F829" s="14"/>
      <c r="G829" s="14"/>
      <c r="H829" s="14"/>
    </row>
    <row r="830">
      <c r="C830" s="14"/>
      <c r="D830" s="14"/>
      <c r="E830" s="14"/>
      <c r="F830" s="14"/>
      <c r="G830" s="14"/>
      <c r="H830" s="14"/>
    </row>
    <row r="831">
      <c r="C831" s="14"/>
      <c r="D831" s="14"/>
      <c r="E831" s="14"/>
      <c r="F831" s="14"/>
      <c r="G831" s="14"/>
      <c r="H831" s="14"/>
    </row>
    <row r="832">
      <c r="C832" s="14"/>
      <c r="D832" s="14"/>
      <c r="E832" s="14"/>
      <c r="F832" s="14"/>
      <c r="G832" s="14"/>
      <c r="H832" s="14"/>
    </row>
    <row r="833">
      <c r="C833" s="14"/>
      <c r="D833" s="14"/>
      <c r="E833" s="14"/>
      <c r="F833" s="14"/>
      <c r="G833" s="14"/>
      <c r="H833" s="14"/>
    </row>
    <row r="834">
      <c r="C834" s="14"/>
      <c r="D834" s="14"/>
      <c r="E834" s="14"/>
      <c r="F834" s="14"/>
      <c r="G834" s="14"/>
      <c r="H834" s="14"/>
    </row>
    <row r="835">
      <c r="C835" s="14"/>
      <c r="D835" s="14"/>
      <c r="E835" s="14"/>
      <c r="F835" s="14"/>
      <c r="G835" s="14"/>
      <c r="H835" s="14"/>
    </row>
    <row r="836">
      <c r="C836" s="14"/>
      <c r="D836" s="14"/>
      <c r="E836" s="14"/>
      <c r="F836" s="14"/>
      <c r="G836" s="14"/>
      <c r="H836" s="14"/>
    </row>
    <row r="837">
      <c r="C837" s="14"/>
      <c r="D837" s="14"/>
      <c r="E837" s="14"/>
      <c r="F837" s="14"/>
      <c r="G837" s="14"/>
      <c r="H837" s="14"/>
    </row>
    <row r="838">
      <c r="C838" s="14"/>
      <c r="D838" s="14"/>
      <c r="E838" s="14"/>
      <c r="F838" s="14"/>
      <c r="G838" s="14"/>
      <c r="H838" s="14"/>
    </row>
    <row r="839">
      <c r="C839" s="14"/>
      <c r="D839" s="14"/>
      <c r="E839" s="14"/>
      <c r="F839" s="14"/>
      <c r="G839" s="14"/>
      <c r="H839" s="14"/>
    </row>
    <row r="840">
      <c r="C840" s="14"/>
      <c r="D840" s="14"/>
      <c r="E840" s="14"/>
      <c r="F840" s="14"/>
      <c r="G840" s="14"/>
      <c r="H840" s="14"/>
    </row>
    <row r="841">
      <c r="C841" s="14"/>
      <c r="D841" s="14"/>
      <c r="E841" s="14"/>
      <c r="F841" s="14"/>
      <c r="G841" s="14"/>
      <c r="H841" s="14"/>
    </row>
    <row r="842">
      <c r="C842" s="14"/>
      <c r="D842" s="14"/>
      <c r="E842" s="14"/>
      <c r="F842" s="14"/>
      <c r="G842" s="14"/>
      <c r="H842" s="14"/>
    </row>
    <row r="843">
      <c r="C843" s="14"/>
      <c r="D843" s="14"/>
      <c r="E843" s="14"/>
      <c r="F843" s="14"/>
      <c r="G843" s="14"/>
      <c r="H843" s="14"/>
    </row>
    <row r="844">
      <c r="C844" s="14"/>
      <c r="D844" s="14"/>
      <c r="E844" s="14"/>
      <c r="F844" s="14"/>
      <c r="G844" s="14"/>
      <c r="H844" s="14"/>
    </row>
    <row r="845">
      <c r="C845" s="14"/>
      <c r="D845" s="14"/>
      <c r="E845" s="14"/>
      <c r="F845" s="14"/>
      <c r="G845" s="14"/>
      <c r="H845" s="14"/>
    </row>
    <row r="846">
      <c r="C846" s="14"/>
      <c r="D846" s="14"/>
      <c r="E846" s="14"/>
      <c r="F846" s="14"/>
      <c r="G846" s="14"/>
      <c r="H846" s="14"/>
    </row>
    <row r="847">
      <c r="C847" s="14"/>
      <c r="D847" s="14"/>
      <c r="E847" s="14"/>
      <c r="F847" s="14"/>
      <c r="G847" s="14"/>
      <c r="H847" s="14"/>
    </row>
    <row r="848">
      <c r="C848" s="14"/>
      <c r="D848" s="14"/>
      <c r="E848" s="14"/>
      <c r="F848" s="14"/>
      <c r="G848" s="14"/>
      <c r="H848" s="14"/>
    </row>
    <row r="849">
      <c r="C849" s="14"/>
      <c r="D849" s="14"/>
      <c r="E849" s="14"/>
      <c r="F849" s="14"/>
      <c r="G849" s="14"/>
      <c r="H849" s="14"/>
    </row>
    <row r="850">
      <c r="C850" s="14"/>
      <c r="D850" s="14"/>
      <c r="E850" s="14"/>
      <c r="F850" s="14"/>
      <c r="G850" s="14"/>
      <c r="H850" s="14"/>
    </row>
    <row r="851">
      <c r="C851" s="14"/>
      <c r="D851" s="14"/>
      <c r="E851" s="14"/>
      <c r="F851" s="14"/>
      <c r="G851" s="14"/>
      <c r="H851" s="14"/>
    </row>
    <row r="852">
      <c r="C852" s="14"/>
      <c r="D852" s="14"/>
      <c r="E852" s="14"/>
      <c r="F852" s="14"/>
      <c r="G852" s="14"/>
      <c r="H852" s="14"/>
    </row>
    <row r="853">
      <c r="C853" s="14"/>
      <c r="D853" s="14"/>
      <c r="E853" s="14"/>
      <c r="F853" s="14"/>
      <c r="G853" s="14"/>
      <c r="H853" s="14"/>
    </row>
    <row r="854">
      <c r="C854" s="14"/>
      <c r="D854" s="14"/>
      <c r="E854" s="14"/>
      <c r="F854" s="14"/>
      <c r="G854" s="14"/>
      <c r="H854" s="14"/>
    </row>
    <row r="855">
      <c r="C855" s="14"/>
      <c r="D855" s="14"/>
      <c r="E855" s="14"/>
      <c r="F855" s="14"/>
      <c r="G855" s="14"/>
      <c r="H855" s="14"/>
    </row>
    <row r="856">
      <c r="C856" s="14"/>
      <c r="D856" s="14"/>
      <c r="E856" s="14"/>
      <c r="F856" s="14"/>
      <c r="G856" s="14"/>
      <c r="H856" s="14"/>
    </row>
    <row r="857">
      <c r="C857" s="14"/>
      <c r="D857" s="14"/>
      <c r="E857" s="14"/>
      <c r="F857" s="14"/>
      <c r="G857" s="14"/>
      <c r="H857" s="14"/>
    </row>
    <row r="858">
      <c r="C858" s="14"/>
      <c r="D858" s="14"/>
      <c r="E858" s="14"/>
      <c r="F858" s="14"/>
      <c r="G858" s="14"/>
      <c r="H858" s="14"/>
    </row>
    <row r="859">
      <c r="C859" s="14"/>
      <c r="D859" s="14"/>
      <c r="E859" s="14"/>
      <c r="F859" s="14"/>
      <c r="G859" s="14"/>
      <c r="H859" s="14"/>
    </row>
    <row r="860">
      <c r="C860" s="14"/>
      <c r="D860" s="14"/>
      <c r="E860" s="14"/>
      <c r="F860" s="14"/>
      <c r="G860" s="14"/>
      <c r="H860" s="14"/>
    </row>
    <row r="861">
      <c r="C861" s="14"/>
      <c r="D861" s="14"/>
      <c r="E861" s="14"/>
      <c r="F861" s="14"/>
      <c r="G861" s="14"/>
      <c r="H861" s="14"/>
    </row>
    <row r="862">
      <c r="C862" s="14"/>
      <c r="D862" s="14"/>
      <c r="E862" s="14"/>
      <c r="F862" s="14"/>
      <c r="G862" s="14"/>
      <c r="H862" s="14"/>
    </row>
    <row r="863">
      <c r="C863" s="14"/>
      <c r="D863" s="14"/>
      <c r="E863" s="14"/>
      <c r="F863" s="14"/>
      <c r="G863" s="14"/>
      <c r="H863" s="14"/>
    </row>
    <row r="864">
      <c r="C864" s="14"/>
      <c r="D864" s="14"/>
      <c r="E864" s="14"/>
      <c r="F864" s="14"/>
      <c r="G864" s="14"/>
      <c r="H864" s="14"/>
    </row>
    <row r="865">
      <c r="C865" s="14"/>
      <c r="D865" s="14"/>
      <c r="E865" s="14"/>
      <c r="F865" s="14"/>
      <c r="G865" s="14"/>
      <c r="H865" s="14"/>
    </row>
    <row r="866">
      <c r="C866" s="14"/>
      <c r="D866" s="14"/>
      <c r="E866" s="14"/>
      <c r="F866" s="14"/>
      <c r="G866" s="14"/>
      <c r="H866" s="14"/>
    </row>
    <row r="867">
      <c r="C867" s="14"/>
      <c r="D867" s="14"/>
      <c r="E867" s="14"/>
      <c r="F867" s="14"/>
      <c r="G867" s="14"/>
      <c r="H867" s="14"/>
    </row>
    <row r="868">
      <c r="C868" s="14"/>
      <c r="D868" s="14"/>
      <c r="E868" s="14"/>
      <c r="F868" s="14"/>
      <c r="G868" s="14"/>
      <c r="H868" s="14"/>
    </row>
    <row r="869">
      <c r="C869" s="14"/>
      <c r="D869" s="14"/>
      <c r="E869" s="14"/>
      <c r="F869" s="14"/>
      <c r="G869" s="14"/>
      <c r="H869" s="14"/>
    </row>
    <row r="870">
      <c r="C870" s="14"/>
      <c r="D870" s="14"/>
      <c r="E870" s="14"/>
      <c r="F870" s="14"/>
      <c r="G870" s="14"/>
      <c r="H870" s="14"/>
    </row>
    <row r="871">
      <c r="C871" s="14"/>
      <c r="D871" s="14"/>
      <c r="E871" s="14"/>
      <c r="F871" s="14"/>
      <c r="G871" s="14"/>
      <c r="H871" s="14"/>
    </row>
    <row r="872">
      <c r="C872" s="14"/>
      <c r="D872" s="14"/>
      <c r="E872" s="14"/>
      <c r="F872" s="14"/>
      <c r="G872" s="14"/>
      <c r="H872" s="14"/>
    </row>
    <row r="873">
      <c r="C873" s="14"/>
      <c r="D873" s="14"/>
      <c r="E873" s="14"/>
      <c r="F873" s="14"/>
      <c r="G873" s="14"/>
      <c r="H873" s="14"/>
    </row>
    <row r="874">
      <c r="C874" s="14"/>
      <c r="D874" s="14"/>
      <c r="E874" s="14"/>
      <c r="F874" s="14"/>
      <c r="G874" s="14"/>
      <c r="H874" s="14"/>
    </row>
    <row r="875">
      <c r="C875" s="14"/>
      <c r="D875" s="14"/>
      <c r="E875" s="14"/>
      <c r="F875" s="14"/>
      <c r="G875" s="14"/>
      <c r="H875" s="14"/>
    </row>
    <row r="876">
      <c r="C876" s="14"/>
      <c r="D876" s="14"/>
      <c r="E876" s="14"/>
      <c r="F876" s="14"/>
      <c r="G876" s="14"/>
      <c r="H876" s="14"/>
    </row>
    <row r="877">
      <c r="C877" s="14"/>
      <c r="D877" s="14"/>
      <c r="E877" s="14"/>
      <c r="F877" s="14"/>
      <c r="G877" s="14"/>
      <c r="H877" s="14"/>
    </row>
    <row r="878">
      <c r="C878" s="14"/>
      <c r="D878" s="14"/>
      <c r="E878" s="14"/>
      <c r="F878" s="14"/>
      <c r="G878" s="14"/>
      <c r="H878" s="14"/>
    </row>
    <row r="879">
      <c r="C879" s="14"/>
      <c r="D879" s="14"/>
      <c r="E879" s="14"/>
      <c r="F879" s="14"/>
      <c r="G879" s="14"/>
      <c r="H879" s="14"/>
    </row>
    <row r="880">
      <c r="C880" s="14"/>
      <c r="D880" s="14"/>
      <c r="E880" s="14"/>
      <c r="F880" s="14"/>
      <c r="G880" s="14"/>
      <c r="H880" s="14"/>
    </row>
    <row r="881">
      <c r="C881" s="14"/>
      <c r="D881" s="14"/>
      <c r="E881" s="14"/>
      <c r="F881" s="14"/>
      <c r="G881" s="14"/>
      <c r="H881" s="14"/>
    </row>
    <row r="882">
      <c r="C882" s="14"/>
      <c r="D882" s="14"/>
      <c r="E882" s="14"/>
      <c r="F882" s="14"/>
      <c r="G882" s="14"/>
      <c r="H882" s="14"/>
    </row>
    <row r="883">
      <c r="C883" s="14"/>
      <c r="D883" s="14"/>
      <c r="E883" s="14"/>
      <c r="F883" s="14"/>
      <c r="G883" s="14"/>
      <c r="H883" s="14"/>
    </row>
    <row r="884">
      <c r="C884" s="14"/>
      <c r="D884" s="14"/>
      <c r="E884" s="14"/>
      <c r="F884" s="14"/>
      <c r="G884" s="14"/>
      <c r="H884" s="14"/>
    </row>
    <row r="885">
      <c r="C885" s="14"/>
      <c r="D885" s="14"/>
      <c r="E885" s="14"/>
      <c r="F885" s="14"/>
      <c r="G885" s="14"/>
      <c r="H885" s="14"/>
    </row>
    <row r="886">
      <c r="C886" s="14"/>
      <c r="D886" s="14"/>
      <c r="E886" s="14"/>
      <c r="F886" s="14"/>
      <c r="G886" s="14"/>
      <c r="H886" s="14"/>
    </row>
    <row r="887">
      <c r="C887" s="14"/>
      <c r="D887" s="14"/>
      <c r="E887" s="14"/>
      <c r="F887" s="14"/>
      <c r="G887" s="14"/>
      <c r="H887" s="14"/>
    </row>
    <row r="888">
      <c r="C888" s="14"/>
      <c r="D888" s="14"/>
      <c r="E888" s="14"/>
      <c r="F888" s="14"/>
      <c r="G888" s="14"/>
      <c r="H888" s="14"/>
    </row>
    <row r="889">
      <c r="C889" s="14"/>
      <c r="D889" s="14"/>
      <c r="E889" s="14"/>
      <c r="F889" s="14"/>
      <c r="G889" s="14"/>
      <c r="H889" s="14"/>
    </row>
    <row r="890">
      <c r="C890" s="14"/>
      <c r="D890" s="14"/>
      <c r="E890" s="14"/>
      <c r="F890" s="14"/>
      <c r="G890" s="14"/>
      <c r="H890" s="14"/>
    </row>
    <row r="891">
      <c r="C891" s="14"/>
      <c r="D891" s="14"/>
      <c r="E891" s="14"/>
      <c r="F891" s="14"/>
      <c r="G891" s="14"/>
      <c r="H891" s="14"/>
    </row>
    <row r="892">
      <c r="C892" s="14"/>
      <c r="D892" s="14"/>
      <c r="E892" s="14"/>
      <c r="F892" s="14"/>
      <c r="G892" s="14"/>
      <c r="H892" s="14"/>
    </row>
    <row r="893">
      <c r="C893" s="14"/>
      <c r="D893" s="14"/>
      <c r="E893" s="14"/>
      <c r="F893" s="14"/>
      <c r="G893" s="14"/>
      <c r="H893" s="14"/>
    </row>
    <row r="894">
      <c r="C894" s="14"/>
      <c r="D894" s="14"/>
      <c r="E894" s="14"/>
      <c r="F894" s="14"/>
      <c r="G894" s="14"/>
      <c r="H894" s="14"/>
    </row>
    <row r="895">
      <c r="C895" s="14"/>
      <c r="D895" s="14"/>
      <c r="E895" s="14"/>
      <c r="F895" s="14"/>
      <c r="G895" s="14"/>
      <c r="H895" s="14"/>
    </row>
    <row r="896">
      <c r="C896" s="14"/>
      <c r="D896" s="14"/>
      <c r="E896" s="14"/>
      <c r="F896" s="14"/>
      <c r="G896" s="14"/>
      <c r="H896" s="14"/>
    </row>
    <row r="897">
      <c r="C897" s="14"/>
      <c r="D897" s="14"/>
      <c r="E897" s="14"/>
      <c r="F897" s="14"/>
      <c r="G897" s="14"/>
      <c r="H897" s="14"/>
    </row>
    <row r="898">
      <c r="C898" s="14"/>
      <c r="D898" s="14"/>
      <c r="E898" s="14"/>
      <c r="F898" s="14"/>
      <c r="G898" s="14"/>
      <c r="H898" s="14"/>
    </row>
    <row r="899">
      <c r="C899" s="14"/>
      <c r="D899" s="14"/>
      <c r="E899" s="14"/>
      <c r="F899" s="14"/>
      <c r="G899" s="14"/>
      <c r="H899" s="14"/>
    </row>
    <row r="900">
      <c r="C900" s="14"/>
      <c r="D900" s="14"/>
      <c r="E900" s="14"/>
      <c r="F900" s="14"/>
      <c r="G900" s="14"/>
      <c r="H900" s="14"/>
    </row>
    <row r="901">
      <c r="C901" s="14"/>
      <c r="D901" s="14"/>
      <c r="E901" s="14"/>
      <c r="F901" s="14"/>
      <c r="G901" s="14"/>
      <c r="H901" s="14"/>
    </row>
    <row r="902">
      <c r="C902" s="14"/>
      <c r="D902" s="14"/>
      <c r="E902" s="14"/>
      <c r="F902" s="14"/>
      <c r="G902" s="14"/>
      <c r="H902" s="14"/>
    </row>
    <row r="903">
      <c r="C903" s="14"/>
      <c r="D903" s="14"/>
      <c r="E903" s="14"/>
      <c r="F903" s="14"/>
      <c r="G903" s="14"/>
      <c r="H903" s="14"/>
    </row>
    <row r="904">
      <c r="C904" s="14"/>
      <c r="D904" s="14"/>
      <c r="E904" s="14"/>
      <c r="F904" s="14"/>
      <c r="G904" s="14"/>
      <c r="H904" s="14"/>
    </row>
    <row r="905">
      <c r="C905" s="14"/>
      <c r="D905" s="14"/>
      <c r="E905" s="14"/>
      <c r="F905" s="14"/>
      <c r="G905" s="14"/>
      <c r="H905" s="14"/>
    </row>
    <row r="906">
      <c r="C906" s="14"/>
      <c r="D906" s="14"/>
      <c r="E906" s="14"/>
      <c r="F906" s="14"/>
      <c r="G906" s="14"/>
      <c r="H906" s="14"/>
    </row>
    <row r="907">
      <c r="C907" s="14"/>
      <c r="D907" s="14"/>
      <c r="E907" s="14"/>
      <c r="F907" s="14"/>
      <c r="G907" s="14"/>
      <c r="H907" s="14"/>
    </row>
    <row r="908">
      <c r="C908" s="14"/>
      <c r="D908" s="14"/>
      <c r="E908" s="14"/>
      <c r="F908" s="14"/>
      <c r="G908" s="14"/>
      <c r="H908" s="14"/>
    </row>
    <row r="909">
      <c r="C909" s="14"/>
      <c r="D909" s="14"/>
      <c r="E909" s="14"/>
      <c r="F909" s="14"/>
      <c r="G909" s="14"/>
      <c r="H909" s="14"/>
    </row>
    <row r="910">
      <c r="C910" s="14"/>
      <c r="D910" s="14"/>
      <c r="E910" s="14"/>
      <c r="F910" s="14"/>
      <c r="G910" s="14"/>
      <c r="H910" s="14"/>
    </row>
    <row r="911">
      <c r="C911" s="14"/>
      <c r="D911" s="14"/>
      <c r="E911" s="14"/>
      <c r="F911" s="14"/>
      <c r="G911" s="14"/>
      <c r="H911" s="14"/>
    </row>
    <row r="912">
      <c r="C912" s="14"/>
      <c r="D912" s="14"/>
      <c r="E912" s="14"/>
      <c r="F912" s="14"/>
      <c r="G912" s="14"/>
      <c r="H912" s="14"/>
    </row>
    <row r="913">
      <c r="C913" s="14"/>
      <c r="D913" s="14"/>
      <c r="E913" s="14"/>
      <c r="F913" s="14"/>
      <c r="G913" s="14"/>
      <c r="H913" s="14"/>
    </row>
    <row r="914">
      <c r="C914" s="14"/>
      <c r="D914" s="14"/>
      <c r="E914" s="14"/>
      <c r="F914" s="14"/>
      <c r="G914" s="14"/>
      <c r="H914" s="14"/>
    </row>
    <row r="915">
      <c r="C915" s="14"/>
      <c r="D915" s="14"/>
      <c r="E915" s="14"/>
      <c r="F915" s="14"/>
      <c r="G915" s="14"/>
      <c r="H915" s="14"/>
    </row>
    <row r="916">
      <c r="C916" s="14"/>
      <c r="D916" s="14"/>
      <c r="E916" s="14"/>
      <c r="F916" s="14"/>
      <c r="G916" s="14"/>
      <c r="H916" s="14"/>
    </row>
    <row r="917">
      <c r="C917" s="14"/>
      <c r="D917" s="14"/>
      <c r="E917" s="14"/>
      <c r="F917" s="14"/>
      <c r="G917" s="14"/>
      <c r="H917" s="14"/>
    </row>
    <row r="918">
      <c r="C918" s="14"/>
      <c r="D918" s="14"/>
      <c r="E918" s="14"/>
      <c r="F918" s="14"/>
      <c r="G918" s="14"/>
      <c r="H918" s="14"/>
    </row>
    <row r="919">
      <c r="C919" s="14"/>
      <c r="D919" s="14"/>
      <c r="E919" s="14"/>
      <c r="F919" s="14"/>
      <c r="G919" s="14"/>
      <c r="H919" s="14"/>
    </row>
    <row r="920">
      <c r="C920" s="14"/>
      <c r="D920" s="14"/>
      <c r="E920" s="14"/>
      <c r="F920" s="14"/>
      <c r="G920" s="14"/>
      <c r="H920" s="14"/>
    </row>
    <row r="921">
      <c r="C921" s="14"/>
      <c r="D921" s="14"/>
      <c r="E921" s="14"/>
      <c r="F921" s="14"/>
      <c r="G921" s="14"/>
      <c r="H921" s="14"/>
    </row>
    <row r="922">
      <c r="C922" s="14"/>
      <c r="D922" s="14"/>
      <c r="E922" s="14"/>
      <c r="F922" s="14"/>
      <c r="G922" s="14"/>
      <c r="H922" s="14"/>
    </row>
    <row r="923">
      <c r="C923" s="14"/>
      <c r="D923" s="14"/>
      <c r="E923" s="14"/>
      <c r="F923" s="14"/>
      <c r="G923" s="14"/>
      <c r="H923" s="14"/>
    </row>
    <row r="924">
      <c r="C924" s="14"/>
      <c r="D924" s="14"/>
      <c r="E924" s="14"/>
      <c r="F924" s="14"/>
      <c r="G924" s="14"/>
      <c r="H924" s="14"/>
    </row>
    <row r="925">
      <c r="C925" s="14"/>
      <c r="D925" s="14"/>
      <c r="E925" s="14"/>
      <c r="F925" s="14"/>
      <c r="G925" s="14"/>
      <c r="H925" s="14"/>
    </row>
    <row r="926">
      <c r="C926" s="14"/>
      <c r="D926" s="14"/>
      <c r="E926" s="14"/>
      <c r="F926" s="14"/>
      <c r="G926" s="14"/>
      <c r="H926" s="14"/>
    </row>
    <row r="927">
      <c r="C927" s="14"/>
      <c r="D927" s="14"/>
      <c r="E927" s="14"/>
      <c r="F927" s="14"/>
      <c r="G927" s="14"/>
      <c r="H927" s="14"/>
    </row>
    <row r="928">
      <c r="C928" s="14"/>
      <c r="D928" s="14"/>
      <c r="E928" s="14"/>
      <c r="F928" s="14"/>
      <c r="G928" s="14"/>
      <c r="H928" s="14"/>
    </row>
    <row r="929">
      <c r="C929" s="14"/>
      <c r="D929" s="14"/>
      <c r="E929" s="14"/>
      <c r="F929" s="14"/>
      <c r="G929" s="14"/>
      <c r="H929" s="14"/>
    </row>
    <row r="930">
      <c r="C930" s="14"/>
      <c r="D930" s="14"/>
      <c r="E930" s="14"/>
      <c r="F930" s="14"/>
      <c r="G930" s="14"/>
      <c r="H930" s="14"/>
    </row>
    <row r="931">
      <c r="C931" s="14"/>
      <c r="D931" s="14"/>
      <c r="E931" s="14"/>
      <c r="F931" s="14"/>
      <c r="G931" s="14"/>
      <c r="H931" s="14"/>
    </row>
    <row r="932">
      <c r="C932" s="14"/>
      <c r="D932" s="14"/>
      <c r="E932" s="14"/>
      <c r="F932" s="14"/>
      <c r="G932" s="14"/>
      <c r="H932" s="14"/>
    </row>
    <row r="933">
      <c r="C933" s="14"/>
      <c r="D933" s="14"/>
      <c r="E933" s="14"/>
      <c r="F933" s="14"/>
      <c r="G933" s="14"/>
      <c r="H933" s="14"/>
    </row>
    <row r="934">
      <c r="C934" s="14"/>
      <c r="D934" s="14"/>
      <c r="E934" s="14"/>
      <c r="F934" s="14"/>
      <c r="G934" s="14"/>
      <c r="H934" s="14"/>
    </row>
    <row r="935">
      <c r="C935" s="14"/>
      <c r="D935" s="14"/>
      <c r="E935" s="14"/>
      <c r="F935" s="14"/>
      <c r="G935" s="14"/>
      <c r="H935" s="14"/>
    </row>
    <row r="936">
      <c r="C936" s="14"/>
      <c r="D936" s="14"/>
      <c r="E936" s="14"/>
      <c r="F936" s="14"/>
      <c r="G936" s="14"/>
      <c r="H936" s="14"/>
    </row>
    <row r="937">
      <c r="C937" s="14"/>
      <c r="D937" s="14"/>
      <c r="E937" s="14"/>
      <c r="F937" s="14"/>
      <c r="G937" s="14"/>
      <c r="H937" s="14"/>
    </row>
    <row r="938">
      <c r="C938" s="14"/>
      <c r="D938" s="14"/>
      <c r="E938" s="14"/>
      <c r="F938" s="14"/>
      <c r="G938" s="14"/>
      <c r="H938" s="14"/>
    </row>
    <row r="939">
      <c r="C939" s="14"/>
      <c r="D939" s="14"/>
      <c r="E939" s="14"/>
      <c r="F939" s="14"/>
      <c r="G939" s="14"/>
      <c r="H939" s="14"/>
    </row>
    <row r="940">
      <c r="C940" s="14"/>
      <c r="D940" s="14"/>
      <c r="E940" s="14"/>
      <c r="F940" s="14"/>
      <c r="G940" s="14"/>
      <c r="H940" s="14"/>
    </row>
    <row r="941">
      <c r="C941" s="14"/>
      <c r="D941" s="14"/>
      <c r="E941" s="14"/>
      <c r="F941" s="14"/>
      <c r="G941" s="14"/>
      <c r="H941" s="14"/>
    </row>
    <row r="942">
      <c r="C942" s="14"/>
      <c r="D942" s="14"/>
      <c r="E942" s="14"/>
      <c r="F942" s="14"/>
      <c r="G942" s="14"/>
      <c r="H942" s="14"/>
    </row>
    <row r="943">
      <c r="C943" s="14"/>
      <c r="D943" s="14"/>
      <c r="E943" s="14"/>
      <c r="F943" s="14"/>
      <c r="G943" s="14"/>
      <c r="H943" s="14"/>
    </row>
    <row r="944">
      <c r="C944" s="14"/>
      <c r="D944" s="14"/>
      <c r="E944" s="14"/>
      <c r="F944" s="14"/>
      <c r="G944" s="14"/>
      <c r="H944" s="14"/>
    </row>
    <row r="945">
      <c r="C945" s="14"/>
      <c r="D945" s="14"/>
      <c r="E945" s="14"/>
      <c r="F945" s="14"/>
      <c r="G945" s="14"/>
      <c r="H945" s="14"/>
    </row>
    <row r="946">
      <c r="C946" s="14"/>
      <c r="D946" s="14"/>
      <c r="E946" s="14"/>
      <c r="F946" s="14"/>
      <c r="G946" s="14"/>
      <c r="H946" s="14"/>
    </row>
    <row r="947">
      <c r="C947" s="14"/>
      <c r="D947" s="14"/>
      <c r="E947" s="14"/>
      <c r="F947" s="14"/>
      <c r="G947" s="14"/>
      <c r="H947" s="14"/>
    </row>
    <row r="948">
      <c r="C948" s="14"/>
      <c r="D948" s="14"/>
      <c r="E948" s="14"/>
      <c r="F948" s="14"/>
      <c r="G948" s="14"/>
      <c r="H948" s="14"/>
    </row>
    <row r="949">
      <c r="C949" s="14"/>
      <c r="D949" s="14"/>
      <c r="E949" s="14"/>
      <c r="F949" s="14"/>
      <c r="G949" s="14"/>
      <c r="H949" s="14"/>
    </row>
    <row r="950">
      <c r="C950" s="14"/>
      <c r="D950" s="14"/>
      <c r="E950" s="14"/>
      <c r="F950" s="14"/>
      <c r="G950" s="14"/>
      <c r="H950" s="14"/>
    </row>
    <row r="951">
      <c r="C951" s="14"/>
      <c r="D951" s="14"/>
      <c r="E951" s="14"/>
      <c r="F951" s="14"/>
      <c r="G951" s="14"/>
      <c r="H951" s="14"/>
    </row>
    <row r="952">
      <c r="C952" s="14"/>
      <c r="D952" s="14"/>
      <c r="E952" s="14"/>
      <c r="F952" s="14"/>
      <c r="G952" s="14"/>
      <c r="H952" s="14"/>
    </row>
    <row r="953">
      <c r="C953" s="14"/>
      <c r="D953" s="14"/>
      <c r="E953" s="14"/>
      <c r="F953" s="14"/>
      <c r="G953" s="14"/>
      <c r="H953" s="14"/>
    </row>
    <row r="954">
      <c r="C954" s="14"/>
      <c r="D954" s="14"/>
      <c r="E954" s="14"/>
      <c r="F954" s="14"/>
      <c r="G954" s="14"/>
      <c r="H954" s="14"/>
    </row>
    <row r="955">
      <c r="C955" s="14"/>
      <c r="D955" s="14"/>
      <c r="E955" s="14"/>
      <c r="F955" s="14"/>
      <c r="G955" s="14"/>
      <c r="H955" s="14"/>
    </row>
    <row r="956">
      <c r="C956" s="14"/>
      <c r="D956" s="14"/>
      <c r="E956" s="14"/>
      <c r="F956" s="14"/>
      <c r="G956" s="14"/>
      <c r="H956" s="14"/>
    </row>
    <row r="957">
      <c r="C957" s="14"/>
      <c r="D957" s="14"/>
      <c r="E957" s="14"/>
      <c r="F957" s="14"/>
      <c r="G957" s="14"/>
      <c r="H957" s="14"/>
    </row>
    <row r="958">
      <c r="C958" s="14"/>
      <c r="D958" s="14"/>
      <c r="E958" s="14"/>
      <c r="F958" s="14"/>
      <c r="G958" s="14"/>
      <c r="H958" s="14"/>
    </row>
    <row r="959">
      <c r="C959" s="14"/>
      <c r="D959" s="14"/>
      <c r="E959" s="14"/>
      <c r="F959" s="14"/>
      <c r="G959" s="14"/>
      <c r="H959" s="14"/>
    </row>
    <row r="960">
      <c r="C960" s="14"/>
      <c r="D960" s="14"/>
      <c r="E960" s="14"/>
      <c r="F960" s="14"/>
      <c r="G960" s="14"/>
      <c r="H960" s="14"/>
    </row>
    <row r="961">
      <c r="C961" s="14"/>
      <c r="D961" s="14"/>
      <c r="E961" s="14"/>
      <c r="F961" s="14"/>
      <c r="G961" s="14"/>
      <c r="H961" s="14"/>
    </row>
    <row r="962">
      <c r="C962" s="14"/>
      <c r="D962" s="14"/>
      <c r="E962" s="14"/>
      <c r="F962" s="14"/>
      <c r="G962" s="14"/>
      <c r="H962" s="14"/>
    </row>
    <row r="963">
      <c r="C963" s="14"/>
      <c r="D963" s="14"/>
      <c r="E963" s="14"/>
      <c r="F963" s="14"/>
      <c r="G963" s="14"/>
      <c r="H963" s="14"/>
    </row>
    <row r="964">
      <c r="C964" s="14"/>
      <c r="D964" s="14"/>
      <c r="E964" s="14"/>
      <c r="F964" s="14"/>
      <c r="G964" s="14"/>
      <c r="H964" s="14"/>
    </row>
    <row r="965">
      <c r="C965" s="14"/>
      <c r="D965" s="14"/>
      <c r="E965" s="14"/>
      <c r="F965" s="14"/>
      <c r="G965" s="14"/>
      <c r="H965" s="14"/>
    </row>
    <row r="966">
      <c r="C966" s="14"/>
      <c r="D966" s="14"/>
      <c r="E966" s="14"/>
      <c r="F966" s="14"/>
      <c r="G966" s="14"/>
      <c r="H966" s="14"/>
    </row>
    <row r="967">
      <c r="C967" s="14"/>
      <c r="D967" s="14"/>
      <c r="E967" s="14"/>
      <c r="F967" s="14"/>
      <c r="G967" s="14"/>
      <c r="H967" s="14"/>
    </row>
    <row r="968">
      <c r="C968" s="14"/>
      <c r="D968" s="14"/>
      <c r="E968" s="14"/>
      <c r="F968" s="14"/>
      <c r="G968" s="14"/>
      <c r="H968" s="14"/>
    </row>
    <row r="969">
      <c r="C969" s="14"/>
      <c r="D969" s="14"/>
      <c r="E969" s="14"/>
      <c r="F969" s="14"/>
      <c r="G969" s="14"/>
      <c r="H969" s="14"/>
    </row>
    <row r="970">
      <c r="C970" s="14"/>
      <c r="D970" s="14"/>
      <c r="E970" s="14"/>
      <c r="F970" s="14"/>
      <c r="G970" s="14"/>
      <c r="H970" s="14"/>
    </row>
    <row r="971">
      <c r="C971" s="14"/>
      <c r="D971" s="14"/>
      <c r="E971" s="14"/>
      <c r="F971" s="14"/>
      <c r="G971" s="14"/>
      <c r="H971" s="14"/>
    </row>
    <row r="972">
      <c r="C972" s="14"/>
      <c r="D972" s="14"/>
      <c r="E972" s="14"/>
      <c r="F972" s="14"/>
      <c r="G972" s="14"/>
      <c r="H972" s="14"/>
    </row>
    <row r="973">
      <c r="C973" s="14"/>
      <c r="D973" s="14"/>
      <c r="E973" s="14"/>
      <c r="F973" s="14"/>
      <c r="G973" s="14"/>
      <c r="H973" s="14"/>
    </row>
    <row r="974">
      <c r="C974" s="14"/>
      <c r="D974" s="14"/>
      <c r="E974" s="14"/>
      <c r="F974" s="14"/>
      <c r="G974" s="14"/>
      <c r="H974" s="14"/>
    </row>
    <row r="975">
      <c r="C975" s="14"/>
      <c r="D975" s="14"/>
      <c r="E975" s="14"/>
      <c r="F975" s="14"/>
      <c r="G975" s="14"/>
      <c r="H975" s="14"/>
    </row>
    <row r="976">
      <c r="C976" s="14"/>
      <c r="D976" s="14"/>
      <c r="E976" s="14"/>
      <c r="F976" s="14"/>
      <c r="G976" s="14"/>
      <c r="H976" s="14"/>
    </row>
    <row r="977">
      <c r="C977" s="14"/>
      <c r="D977" s="14"/>
      <c r="E977" s="14"/>
      <c r="F977" s="14"/>
      <c r="G977" s="14"/>
      <c r="H977" s="14"/>
    </row>
    <row r="978">
      <c r="C978" s="14"/>
      <c r="D978" s="14"/>
      <c r="E978" s="14"/>
      <c r="F978" s="14"/>
      <c r="G978" s="14"/>
      <c r="H978" s="14"/>
    </row>
    <row r="979">
      <c r="C979" s="14"/>
      <c r="D979" s="14"/>
      <c r="E979" s="14"/>
      <c r="F979" s="14"/>
      <c r="G979" s="14"/>
      <c r="H979" s="14"/>
    </row>
    <row r="980">
      <c r="C980" s="14"/>
      <c r="D980" s="14"/>
      <c r="E980" s="14"/>
      <c r="F980" s="14"/>
      <c r="G980" s="14"/>
      <c r="H980" s="14"/>
    </row>
    <row r="981">
      <c r="C981" s="14"/>
      <c r="D981" s="14"/>
      <c r="E981" s="14"/>
      <c r="F981" s="14"/>
      <c r="G981" s="14"/>
      <c r="H981" s="14"/>
    </row>
    <row r="982">
      <c r="C982" s="14"/>
      <c r="D982" s="14"/>
      <c r="E982" s="14"/>
      <c r="F982" s="14"/>
      <c r="G982" s="14"/>
      <c r="H982" s="14"/>
    </row>
    <row r="983">
      <c r="C983" s="14"/>
      <c r="D983" s="14"/>
      <c r="E983" s="14"/>
      <c r="F983" s="14"/>
      <c r="G983" s="14"/>
      <c r="H983" s="14"/>
    </row>
    <row r="984">
      <c r="C984" s="14"/>
      <c r="D984" s="14"/>
      <c r="E984" s="14"/>
      <c r="F984" s="14"/>
      <c r="G984" s="14"/>
      <c r="H984" s="14"/>
    </row>
  </sheetData>
  <mergeCells count="6">
    <mergeCell ref="A2:H2"/>
    <mergeCell ref="A8:H8"/>
    <mergeCell ref="A14:H14"/>
    <mergeCell ref="A20:H20"/>
    <mergeCell ref="A26:H26"/>
    <mergeCell ref="A32:H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46</v>
      </c>
      <c r="B1" s="16"/>
      <c r="C1" s="16"/>
      <c r="D1" s="16"/>
      <c r="E1" s="16"/>
      <c r="F1" s="16"/>
      <c r="G1" s="11"/>
    </row>
    <row r="2">
      <c r="A2" s="26" t="s">
        <v>47</v>
      </c>
      <c r="D2" s="26"/>
      <c r="E2" s="26" t="s">
        <v>48</v>
      </c>
    </row>
    <row r="3">
      <c r="D3" s="26" t="s">
        <v>49</v>
      </c>
    </row>
    <row r="4">
      <c r="A4" s="17" t="s">
        <v>50</v>
      </c>
    </row>
    <row r="5">
      <c r="A5" s="26" t="s">
        <v>51</v>
      </c>
      <c r="D5" s="26"/>
      <c r="E5" s="26" t="s">
        <v>52</v>
      </c>
    </row>
    <row r="6">
      <c r="D6" s="26" t="s">
        <v>49</v>
      </c>
    </row>
    <row r="7">
      <c r="A7" s="17" t="s">
        <v>53</v>
      </c>
    </row>
    <row r="8">
      <c r="A8" s="26" t="s">
        <v>52</v>
      </c>
      <c r="D8" s="26"/>
      <c r="E8" s="26" t="s">
        <v>48</v>
      </c>
    </row>
    <row r="9">
      <c r="D9" s="26" t="s">
        <v>49</v>
      </c>
    </row>
    <row r="10">
      <c r="A10" s="17" t="s">
        <v>54</v>
      </c>
    </row>
    <row r="11">
      <c r="A11" s="26" t="s">
        <v>55</v>
      </c>
      <c r="D11" s="26"/>
      <c r="E11" s="26" t="s">
        <v>51</v>
      </c>
    </row>
    <row r="12">
      <c r="D12" s="26" t="s">
        <v>49</v>
      </c>
    </row>
    <row r="16">
      <c r="A16" s="58" t="s">
        <v>56</v>
      </c>
    </row>
    <row r="17">
      <c r="A17" s="59" t="s">
        <v>57</v>
      </c>
      <c r="D17" s="59" t="s">
        <v>42</v>
      </c>
    </row>
    <row r="18">
      <c r="A18" s="60" t="s">
        <v>48</v>
      </c>
      <c r="D18" s="61"/>
    </row>
    <row r="19">
      <c r="A19" s="62" t="s">
        <v>55</v>
      </c>
      <c r="D19" s="61"/>
    </row>
    <row r="20">
      <c r="A20" s="63" t="s">
        <v>51</v>
      </c>
      <c r="D20" s="61"/>
    </row>
    <row r="21">
      <c r="A21" s="64" t="s">
        <v>52</v>
      </c>
      <c r="D21" s="65"/>
    </row>
    <row r="22">
      <c r="A22" s="66"/>
      <c r="D22" s="67"/>
      <c r="E22" s="66"/>
    </row>
  </sheetData>
  <mergeCells count="18">
    <mergeCell ref="A1:G1"/>
    <mergeCell ref="A2:C2"/>
    <mergeCell ref="E2:G2"/>
    <mergeCell ref="A4:G4"/>
    <mergeCell ref="A5:C5"/>
    <mergeCell ref="E5:G5"/>
    <mergeCell ref="A7:G7"/>
    <mergeCell ref="A18:C18"/>
    <mergeCell ref="A19:C19"/>
    <mergeCell ref="A20:C20"/>
    <mergeCell ref="A21:C21"/>
    <mergeCell ref="A8:C8"/>
    <mergeCell ref="E8:G8"/>
    <mergeCell ref="A10:G10"/>
    <mergeCell ref="A11:C11"/>
    <mergeCell ref="E11:G11"/>
    <mergeCell ref="A16:C16"/>
    <mergeCell ref="A17:C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hidden="1" min="6" max="6" width="12.63"/>
    <col customWidth="1" min="7" max="7" width="14.38"/>
    <col customWidth="1" hidden="1" min="8" max="8" width="13.75"/>
  </cols>
  <sheetData>
    <row r="1">
      <c r="A1" s="10" t="s">
        <v>58</v>
      </c>
      <c r="B1" s="16"/>
      <c r="C1" s="16"/>
      <c r="D1" s="16"/>
      <c r="E1" s="16"/>
      <c r="F1" s="16"/>
      <c r="G1" s="16"/>
      <c r="H1" s="11"/>
    </row>
    <row r="2">
      <c r="A2" s="13" t="s">
        <v>59</v>
      </c>
      <c r="B2" s="13" t="s">
        <v>60</v>
      </c>
      <c r="C2" s="13" t="s">
        <v>61</v>
      </c>
      <c r="D2" s="13" t="s">
        <v>62</v>
      </c>
      <c r="E2" s="13" t="s">
        <v>63</v>
      </c>
      <c r="F2" s="13" t="s">
        <v>64</v>
      </c>
      <c r="G2" s="13" t="s">
        <v>64</v>
      </c>
      <c r="H2" s="13" t="s">
        <v>65</v>
      </c>
    </row>
    <row r="3">
      <c r="A3" s="64" t="str">
        <f>WhiteP1</f>
        <v>Rob (W)</v>
      </c>
      <c r="B3" s="64" t="str">
        <f t="array" ref="B3">If(VLOOKUP(INDEX(MatchPlay1, Match(CONCATENATE("*", WhiteP1, "*"), MatchPlay1, false), 0),MatchPlay1_VL, 2, false) = 0, "TBD", if(VLOOKUP(INDEX(MatchPlay1, Match(CONCATENATE("*", WhiteP1, "*"), MatchPlay1, false), 0),MatchPlay1_VL, 3, false) = "halved", "halved", If(VLOOKUP(INDEX(MatchPlay1, Match(CONCATENATE("*", WhiteP1, "*"), MatchPlay1, false), 0),MatchPlay1_VL, 3, false) &lt;&gt; "AS", if(left(VLOOKUP(INDEX(MatchPlay1, Match(CONCATENATE("*", WhiteP1, "*"), MatchPlay1, false), 0),MatchPlay1_VL, 3, false), 1) = "a", "W", "L"), "TBD")))</f>
        <v>L</v>
      </c>
      <c r="C3" s="64" t="str">
        <f t="array" ref="C3">If(VLOOKUP(INDEX(MatchPlay2, Match(CONCATENATE("*", WhiteP1, "*"), MatchPlay2, false), 0),MatchPlay2_VL, 2, false) = 0, "TBD", if(VLOOKUP(INDEX(MatchPlay2, Match(CONCATENATE("*", WhiteP1, "*"), MatchPlay2, false), 0),MatchPlay2_VL, 3, false) = "halved", "halved", If(VLOOKUP(INDEX(MatchPlay2, Match(CONCATENATE("*", WhiteP1, "*"), MatchPlay2, false), 0),MatchPlay2_VL, 3, false) &lt;&gt; "AS", if(left(VLOOKUP(INDEX(MatchPlay2, Match(CONCATENATE("*", WhiteP1, "*"), MatchPlay2, false), 0),MatchPlay2_VL, 3, false), 1) = "a", "W", "L"), "TBD")))</f>
        <v>L</v>
      </c>
      <c r="D3" s="64" t="str">
        <f t="array" ref="D3">If(VLOOKUP(INDEX(MatchPlay3, Match(CONCATENATE("*", WhiteP1, "*"), MatchPlay3, false), 0),MatchPlay3_VL, 2, false) = 0, "TBD", if(VLOOKUP(INDEX(MatchPlay3, Match(CONCATENATE("*", WhiteP1, "*"), MatchPlay3, false), 0),MatchPlay3_VL, 3, false) = "halved", "halved", If(VLOOKUP(INDEX(MatchPlay3, Match(CONCATENATE("*", WhiteP1, "*"), MatchPlay3, false), 0),MatchPlay3_VL, 3, false) &lt;&gt; "AS", if(left(VLOOKUP(INDEX(MatchPlay3, Match(CONCATENATE("*", WhiteP1, "*"), MatchPlay3, false), 0),MatchPlay3_VL, 3, false), 1) = "a", "W", "L"), "TBD")))</f>
        <v>L</v>
      </c>
      <c r="E3" s="64">
        <f>SUM(IFS(B3="W", MPPointsW, B3="L", MPPointsL, B3="halved", MPPointsH, B3="TBD", "0"), IFS(C3="W", MPPointsW, C3="L", MPPointsL, C3="halved", MPPointsH, C3="TBD", "0"), IFS(D3="W", MPPointsW, D3="L", MPPointsL, D3="halved", MPPointsH, D3="TBD", "0"))</f>
        <v>0</v>
      </c>
      <c r="F3" s="64" t="str">
        <f>IFS(LARGE(MPFlight1Total, 1)=E3, 1, LARGE(MPFlight1Total, 2)=E3, 2, LARGE(MPFlight1Total, 3)=E3, 3, LARGE(MPFlight1Total, 4)=E3, 4)</f>
        <v>#N/A</v>
      </c>
      <c r="G3" s="68" t="str">
        <f>If(C3="TBD", 0, F3)</f>
        <v>#N/A</v>
      </c>
      <c r="H3" s="68" t="str">
        <f>If(C3="TBD", 0, VLOOKUP(G3,MatchPlayPoints_VL, 2, false))</f>
        <v>#N/A</v>
      </c>
    </row>
    <row r="4">
      <c r="A4" s="60" t="str">
        <f>BlackP1</f>
        <v>Mitch (A)</v>
      </c>
      <c r="B4" s="60" t="str">
        <f t="array" ref="B4">If(VLOOKUP(INDEX(MatchPlay1, Match(CONCATENATE("*", BlackP1, "*"), MatchPlay1, false), 0),MatchPlay1_VL, 2, false) = 0, "TBD", if(VLOOKUP(INDEX(MatchPlay1, Match(CONCATENATE("*", BlackP1, "*"), MatchPlay1, false), 0),MatchPlay1_VL, 3, false) = "halved", "halved", If(VLOOKUP(INDEX(MatchPlay1, Match(CONCATENATE("*", BlackP1, "*"), MatchPlay1, false), 0),MatchPlay1_VL, 3, false) &lt;&gt; "AS", if(left(VLOOKUP(INDEX(MatchPlay1, Match(CONCATENATE("*", BlackP1, "*"), MatchPlay1, false), 0),MatchPlay1_VL, 3, false), 1) = "b", "W", "L"), "TBD")))</f>
        <v>#N/A</v>
      </c>
      <c r="C4" s="60" t="str">
        <f t="array" ref="C4">If(VLOOKUP(INDEX(MatchPlay2, Match(CONCATENATE("*", BlackP1, "*"), MatchPlay2, false), 0),MatchPlay2_VL, 2, false) = 0, "TBD", if(VLOOKUP(INDEX(MatchPlay2, Match(CONCATENATE("*", BlackP1, "*"), MatchPlay2, false), 0),MatchPlay2_VL, 3, false) = "halved", "halved", If(VLOOKUP(INDEX(MatchPlay2, Match(CONCATENATE("*", BlackP1, "*"), MatchPlay2, false), 0),MatchPlay2_VL, 3, false) &lt;&gt; "AS", if(left(VLOOKUP(INDEX(MatchPlay2, Match(CONCATENATE("*", BlackP1, "*"), MatchPlay2, false), 0),MatchPlay2_VL, 3, false), 1) = "a", "W", "L"), "TBD")))</f>
        <v>L</v>
      </c>
      <c r="D4" s="60" t="str">
        <f t="array" ref="D4">If(VLOOKUP(INDEX(MatchPlay3, Match(CONCATENATE("*", BlackP1, "*"), MatchPlay3, false), 0),MatchPlay3_VL, 2, false) = 0, "TBD", if(VLOOKUP(INDEX(MatchPlay3, Match(CONCATENATE("*", BlackP1, "*"), MatchPlay3, false), 0),MatchPlay3_VL, 3, false) = "halved", "halved", If(VLOOKUP(INDEX(MatchPlay3, Match(CONCATENATE("*", BlackP1, "*"), MatchPlay3, false), 0),MatchPlay3_VL, 3, false) &lt;&gt; "AS", if(left(VLOOKUP(INDEX(MatchPlay3, Match(CONCATENATE("*", BlackP1, "*"), MatchPlay3, false), 0),MatchPlay3_VL, 3, false), 1) = "b", "W", "L"), "TBD")))</f>
        <v>#N/A</v>
      </c>
      <c r="E4" s="60" t="str">
        <f>SUM(IFS(B4="W", MPPointsW, B4="L", MPPointsL, B4="halved", MPPointsH, B4="TBD", "0"), IFS(C4="W", MPPointsW, C4="L", MPPointsL, C4="halved", MPPointsH, C4="TBD", "0"), IFS(D4="W", MPPointsW, D4="L", MPPointsL, D4="halved", MPPointsH, D4="TBD", "0"))</f>
        <v>#N/A</v>
      </c>
      <c r="F4" s="60" t="str">
        <f>IFS(LARGE(MPFlight1Total, 1)=E4, 1, LARGE(MPFlight1Total, 2)=E4, 2, LARGE(MPFlight1Total, 3)=E4, 3, LARGE(MPFlight1Total, 4)=E4, 4)</f>
        <v>#N/A</v>
      </c>
      <c r="G4" s="69">
        <v>4.0</v>
      </c>
      <c r="H4" s="68">
        <f>If(C4="TBD", 0, VLOOKUP(G4,MatchPlayPoints_VL, 2, false))</f>
        <v>0</v>
      </c>
    </row>
    <row r="5">
      <c r="A5" s="62" t="str">
        <f>BlueP1</f>
        <v>Will (B)</v>
      </c>
      <c r="B5" s="62" t="str">
        <f t="array" ref="B5">If(VLOOKUP(INDEX(MatchPlay1, Match(CONCATENATE("*", BlueP1, "*"), MatchPlay1, false), 0),MatchPlay1_VL, 2, false) = 0, "TBD", if(VLOOKUP(INDEX(MatchPlay1, Match(CONCATENATE("*", BlueP1, "*"), MatchPlay1, false), 0),MatchPlay1_VL, 3, false) = "halved", "halved", If(VLOOKUP(INDEX(MatchPlay1, Match(CONCATENATE("*", BlueP1, "*"), MatchPlay1, false), 0),MatchPlay1_VL, 3, false) &lt;&gt; "AS", if(left(VLOOKUP(INDEX(MatchPlay1, Match(CONCATENATE("*", BlueP1, "*"), MatchPlay1, false), 0),MatchPlay1_VL, 3, false), 1) = "a", "W", "L"), "TBD")))</f>
        <v>L</v>
      </c>
      <c r="C5" s="62" t="str">
        <f t="array" ref="C5">If(VLOOKUP(INDEX(MatchPlay2, Match(CONCATENATE("*", BlueP1, "*"), MatchPlay2, false), 0),MatchPlay2_VL, 2, false) = 0, "TBD", if(VLOOKUP(INDEX(MatchPlay2, Match(CONCATENATE("*", BlueP1, "*"), MatchPlay2, false), 0),MatchPlay2_VL, 3, false) = "halved", "halved", If(VLOOKUP(INDEX(MatchPlay2, Match(CONCATENATE("*", BlueP1, "*"), MatchPlay2, false), 0),MatchPlay2_VL, 3, false) &lt;&gt; "AS", if(left(VLOOKUP(INDEX(MatchPlay2, Match(CONCATENATE("*", BlueP1, "*"), MatchPlay2, false), 0),MatchPlay2_VL, 3, false), 1) = "b", "W", "L"), "TBD")))</f>
        <v>#N/A</v>
      </c>
      <c r="D5" s="62" t="str">
        <f t="array" ref="D5">If(VLOOKUP(INDEX(MatchPlay3, Match(CONCATENATE("*", BlueP1, "*"), MatchPlay3, false), 0),MatchPlay3_VL, 2, false) = 0, "TBD", if(VLOOKUP(INDEX(MatchPlay3, Match(CONCATENATE("*", BlueP1, "*"), MatchPlay3, false), 0),MatchPlay3_VL, 3, false) = "halved", "halved", If(VLOOKUP(INDEX(MatchPlay3, Match(CONCATENATE("*", BlueP1, "*"), MatchPlay3, false), 0),MatchPlay3_VL, 3, false) &lt;&gt; "AS", if(left(VLOOKUP(INDEX(MatchPlay3, Match(CONCATENATE("*", BlueP1, "*"), MatchPlay3, false), 0),MatchPlay3_VL, 3, false), 1) = "b", "W", "L"), "TBD")))</f>
        <v>#N/A</v>
      </c>
      <c r="E5" s="62" t="str">
        <f>SUM(IFS(B5="W", MPPointsW, B5="L", MPPointsL, B5="halved", MPPointsH, B5="TBD", "0"), IFS(C5="W", MPPointsW, C5="L", MPPointsL, C5="halved", MPPointsH, C5="TBD", "0"), IFS(D5="W", MPPointsW, D5="L", MPPointsL, D5="halved", MPPointsH, D5="TBD", "0"))</f>
        <v>#N/A</v>
      </c>
      <c r="F5" s="62" t="str">
        <f>IFS(LARGE(MPFlight1Total, 1)=E5, 1, LARGE(MPFlight1Total, 2)=E5, 2, LARGE(MPFlight1Total, 3)=E5, 3, LARGE(MPFlight1Total, 4)=E5, 4)</f>
        <v>#N/A</v>
      </c>
      <c r="G5" s="69">
        <v>3.0</v>
      </c>
      <c r="H5" s="68" t="str">
        <f>If(C5="TBD", 0, VLOOKUP(G5,MatchPlayPoints_VL, 2, false))</f>
        <v>#N/A</v>
      </c>
    </row>
    <row r="6">
      <c r="A6" s="70" t="str">
        <f>RedP1</f>
        <v>Troy (R)</v>
      </c>
      <c r="B6" s="70" t="str">
        <f t="array" ref="B6">If(VLOOKUP(INDEX(MatchPlay1, Match(CONCATENATE("*", RedP1, "*"), MatchPlay1, false), 0),MatchPlay1_VL, 2, false) = 0, "TBD", if(VLOOKUP(INDEX(MatchPlay1, Match(CONCATENATE("*", RedP1, "*"), MatchPlay1, false), 0),MatchPlay1_VL, 3, false) = "halved", "halved", If(VLOOKUP(INDEX(MatchPlay1, Match(CONCATENATE("*", RedP1, "*"), MatchPlay1, false), 0),MatchPlay1_VL, 3, false) &lt;&gt; "AS", if(left(VLOOKUP(INDEX(MatchPlay1, Match(CONCATENATE("*", RedP1, "*"), MatchPlay1, false), 0),MatchPlay1_VL, 3, false), 1) = "b", "W", "L"), "TBD")))</f>
        <v>#N/A</v>
      </c>
      <c r="C6" s="70" t="str">
        <f t="array" ref="C6">If(VLOOKUP(INDEX(MatchPlay2, Match(CONCATENATE("*", RedP1, "*"), MatchPlay2, false), 0),MatchPlay2_VL, 2, false) = 0, "TBD", if(VLOOKUP(INDEX(MatchPlay2, Match(CONCATENATE("*", RedP1, "*"), MatchPlay2, false), 0),MatchPlay2_VL, 3, false) = "halved", "halved", If(VLOOKUP(INDEX(MatchPlay2, Match(CONCATENATE("*", RedP1, "*"), MatchPlay2, false), 0),MatchPlay2_VL, 3, false) &lt;&gt; "AS", if(left(VLOOKUP(INDEX(MatchPlay2, Match(CONCATENATE("*", RedP1, "*"), MatchPlay2, false), 0),MatchPlay2_VL, 3, false), 1) = "b", "W", "L"), "TBD")))</f>
        <v>#N/A</v>
      </c>
      <c r="D6" s="70" t="str">
        <f t="array" ref="D6">If(VLOOKUP(INDEX(MatchPlay3, Match(CONCATENATE("*", RedP1, "*"), MatchPlay3, false), 0),MatchPlay3_VL, 2, false) = 0, "TBD", if(VLOOKUP(INDEX(MatchPlay3, Match(CONCATENATE("*", RedP1, "*"), MatchPlay3, false), 0),MatchPlay3_VL, 3, false) = "halved", "halved", If(VLOOKUP(INDEX(MatchPlay3, Match(CONCATENATE("*", RedP1, "*"), MatchPlay3, false), 0),MatchPlay3_VL, 3, false) &lt;&gt; "AS", if(left(VLOOKUP(INDEX(MatchPlay3, Match(CONCATENATE("*", RedP1, "*"), MatchPlay3, false), 0),MatchPlay3_VL, 3, false), 1) = "a", "W", "L"), "TBD")))</f>
        <v>L</v>
      </c>
      <c r="E6" s="70" t="str">
        <f>SUM(IFS(B6="W", MPPointsW, B6="L", MPPointsL, B6="halved", MPPointsH, B6="TBD", "0"), IFS(C6="W", MPPointsW, C6="L", MPPointsL, C6="halved", MPPointsH, C6="TBD", "0"), IFS(D6="W", MPPointsW, D6="L", MPPointsL, D6="halved", MPPointsH, D6="TBD", "0"))</f>
        <v>#N/A</v>
      </c>
      <c r="F6" s="70" t="str">
        <f>IFS(LARGE(MPFlight1Total, 1)=E6, 1, LARGE(MPFlight1Total, 2)=E6, 2, LARGE(MPFlight1Total, 3)=E6, 3, LARGE(MPFlight1Total, 4)=E6, 4)</f>
        <v>#N/A</v>
      </c>
      <c r="G6" s="68" t="str">
        <f>If(C6="TBD", 0, F6)</f>
        <v>#N/A</v>
      </c>
      <c r="H6" s="68" t="str">
        <f>If(C6="TBD", 0, VLOOKUP(G6,MatchPlayPoints_VL, 2, false))</f>
        <v>#N/A</v>
      </c>
    </row>
    <row r="8">
      <c r="A8" s="10" t="s">
        <v>66</v>
      </c>
      <c r="B8" s="16"/>
      <c r="C8" s="16"/>
      <c r="D8" s="16"/>
      <c r="E8" s="16"/>
      <c r="F8" s="16"/>
      <c r="G8" s="16"/>
      <c r="H8" s="11"/>
    </row>
    <row r="9">
      <c r="A9" s="13" t="s">
        <v>59</v>
      </c>
      <c r="B9" s="13" t="s">
        <v>60</v>
      </c>
      <c r="C9" s="13" t="s">
        <v>61</v>
      </c>
      <c r="D9" s="13" t="s">
        <v>62</v>
      </c>
      <c r="E9" s="13" t="s">
        <v>63</v>
      </c>
      <c r="F9" s="13" t="s">
        <v>64</v>
      </c>
      <c r="G9" s="13" t="s">
        <v>64</v>
      </c>
      <c r="H9" s="13" t="s">
        <v>65</v>
      </c>
    </row>
    <row r="10">
      <c r="A10" s="64" t="str">
        <f>WhiteP2</f>
        <v>Dutch (W)</v>
      </c>
      <c r="B10" s="64" t="str">
        <f t="array" ref="B10">If(VLOOKUP(INDEX(MatchPlay1, Match(CONCATENATE("*", WhiteP2, "*"), MatchPlay1, false), 0),MatchPlay1_VL, 2, false) = 0, "TBD", if(VLOOKUP(INDEX(MatchPlay1, Match(CONCATENATE("*", WhiteP2, "*"), MatchPlay1, false), 0),MatchPlay1_VL, 3, false) = "halved", "halved", If(VLOOKUP(INDEX(MatchPlay1, Match(CONCATENATE("*", WhiteP2, "*"), MatchPlay1, false), 0),MatchPlay1_VL, 3, false) &lt;&gt; "AS", if(left(VLOOKUP(INDEX(MatchPlay1, Match(CONCATENATE("*", WhiteP2, "*"), MatchPlay1, false), 0),MatchPlay1_VL, 3, false), 1) = "a", "W", "L"), "TBD")))</f>
        <v>L</v>
      </c>
      <c r="C10" s="64" t="str">
        <f t="array" ref="C10">If(VLOOKUP(INDEX(MatchPlay2, Match(CONCATENATE("*", WhiteP2, "*"), MatchPlay2, false), 0),MatchPlay2_VL, 2, false) = 0, "TBD", if(VLOOKUP(INDEX(MatchPlay2, Match(CONCATENATE("*", WhiteP2, "*"), MatchPlay2, false), 0),MatchPlay2_VL, 3, false) = "halved", "halved", If(VLOOKUP(INDEX(MatchPlay2, Match(CONCATENATE("*", WhiteP2, "*"), MatchPlay2, false), 0),MatchPlay2_VL, 3, false) &lt;&gt; "AS", if(left(VLOOKUP(INDEX(MatchPlay2, Match(CONCATENATE("*", WhiteP2, "*"), MatchPlay2, false), 0),MatchPlay2_VL, 3, false), 1) = "a", "W", "L"), "TBD")))</f>
        <v>L</v>
      </c>
      <c r="D10" s="64" t="str">
        <f t="array" ref="D10">If(VLOOKUP(INDEX(MatchPlay3, Match(CONCATENATE("*", WhiteP2, "*"), MatchPlay3, false), 0),MatchPlay3_VL, 2, false) = 0, "TBD", if(VLOOKUP(INDEX(MatchPlay3, Match(CONCATENATE("*", WhiteP2, "*"), MatchPlay3, false), 0),MatchPlay3_VL, 3, false) = "halved", "halved", If(VLOOKUP(INDEX(MatchPlay3, Match(CONCATENATE("*", WhiteP2, "*"), MatchPlay3, false), 0),MatchPlay3_VL, 3, false) &lt;&gt; "AS", if(left(VLOOKUP(INDEX(MatchPlay3, Match(CONCATENATE("*", WhiteP2, "*"), MatchPlay3, false), 0),MatchPlay3_VL, 3, false), 1) = "a", "W", "L"), "TBD")))</f>
        <v>L</v>
      </c>
      <c r="E10" s="64">
        <f>SUM(IFS(B10="W", MPPointsW, B10="L", MPPointsL, B10="halved", MPPointsH, B10="TBD", "0"), IFS(C10="W", MPPointsW, C10="L", MPPointsL, C10="halved", MPPointsH, C10="TBD", "0"), IFS(D10="W", MPPointsW, D10="L", MPPointsL, D10="halved", MPPointsH, D10="TBD", "0"))</f>
        <v>0</v>
      </c>
      <c r="F10" s="64" t="str">
        <f>IFS(LARGE(MPFlight2Total, 1)=E10, 1, LARGE(MPFlight2Total, 2)=E10, 2, LARGE(MPFlight2Total, 3)=E10, 3, LARGE(MPFlight2Total, 4)=E10, 4)</f>
        <v>#N/A</v>
      </c>
      <c r="G10" s="68" t="str">
        <f t="shared" ref="G10:G13" si="1">If(C10="TBD", 0, F10)</f>
        <v>#N/A</v>
      </c>
      <c r="H10" s="68" t="str">
        <f>If(C10="TBD", 0, VLOOKUP(G10,MatchPlayPoints_VL, 2, false))</f>
        <v>#N/A</v>
      </c>
    </row>
    <row r="11">
      <c r="A11" s="60" t="str">
        <f>BlackP2</f>
        <v>Rocky (A)</v>
      </c>
      <c r="B11" s="60" t="str">
        <f t="array" ref="B11">If(VLOOKUP(INDEX(MatchPlay1, Match(CONCATENATE("*", BlackP2, "*"), MatchPlay1, false), 0),MatchPlay1_VL, 2, false) = 0, "TBD", if(VLOOKUP(INDEX(MatchPlay1, Match(CONCATENATE("*", BlackP2, "*"), MatchPlay1, false), 0),MatchPlay1_VL, 3, false) = "halved", "halved", If(VLOOKUP(INDEX(MatchPlay1, Match(CONCATENATE("*", BlackP2, "*"), MatchPlay1, false), 0),MatchPlay1_VL, 3, false) &lt;&gt; "AS", if(left(VLOOKUP(INDEX(MatchPlay1, Match(CONCATENATE("*", BlackP2, "*"), MatchPlay1, false), 0),MatchPlay1_VL, 3, false), 1) = "a", "W", "L"), "TBD")))</f>
        <v>L</v>
      </c>
      <c r="C11" s="60" t="str">
        <f t="array" ref="C11">If(VLOOKUP(INDEX(MatchPlay2, Match(CONCATENATE("*", BlackP2, "*"), MatchPlay2, false), 0),MatchPlay2_VL, 2, false) = 0, "TBD", if(VLOOKUP(INDEX(MatchPlay2, Match(CONCATENATE("*", BlackP2, "*"), MatchPlay2, false), 0),MatchPlay2_VL, 3, false) = "halved", "halved", If(VLOOKUP(INDEX(MatchPlay2, Match(CONCATENATE("*", BlackP2, "*"), MatchPlay2, false), 0),MatchPlay2_VL, 3, false) &lt;&gt; "AS", if(left(VLOOKUP(INDEX(MatchPlay2, Match(CONCATENATE("*", BlackP2, "*"), MatchPlay2, false), 0),MatchPlay2_VL, 3, false), 1) = "b", "W", "L"), "TBD")))</f>
        <v>#N/A</v>
      </c>
      <c r="D11" s="60" t="str">
        <f t="array" ref="D11">If(VLOOKUP(INDEX(MatchPlay3, Match(CONCATENATE("*", BlackP2, "*"), MatchPlay3, false), 0),MatchPlay3_VL, 2, false) = 0, "TBD", if(VLOOKUP(INDEX(MatchPlay3, Match(CONCATENATE("*", BlackP2, "*"), MatchPlay3, false), 0),MatchPlay3_VL, 3, false) = "halved", "halved", If(VLOOKUP(INDEX(MatchPlay3, Match(CONCATENATE("*", BlackP2, "*"), MatchPlay3, false), 0),MatchPlay3_VL, 3, false) &lt;&gt; "AS", if(left(VLOOKUP(INDEX(MatchPlay3, Match(CONCATENATE("*", BlackP2, "*"), MatchPlay3, false), 0),MatchPlay3_VL, 3, false), 1) = "b", "W", "L"), "TBD")))</f>
        <v>#N/A</v>
      </c>
      <c r="E11" s="60" t="str">
        <f>SUM(IFS(B11="W", MPPointsW, B11="L", MPPointsL, B11="halved", MPPointsH, B11="TBD", "0"), IFS(C11="W", MPPointsW, C11="L", MPPointsL, C11="halved", MPPointsH, C11="TBD", "0"), IFS(D11="W", MPPointsW, D11="L", MPPointsL, D11="halved", MPPointsH, D11="TBD", "0"))</f>
        <v>#N/A</v>
      </c>
      <c r="F11" s="60" t="str">
        <f>IFS(LARGE(MPFlight2Total, 1)=E11, 1, LARGE(MPFlight2Total, 2)=E11, 2, LARGE(MPFlight2Total, 3)=E11, 3, LARGE(MPFlight2Total, 4)=E11, 4)</f>
        <v>#N/A</v>
      </c>
      <c r="G11" s="68" t="str">
        <f t="shared" si="1"/>
        <v>#N/A</v>
      </c>
      <c r="H11" s="68" t="str">
        <f>If(C11="TBD", 0, VLOOKUP(G11,MatchPlayPoints_VL, 2, false))</f>
        <v>#N/A</v>
      </c>
    </row>
    <row r="12">
      <c r="A12" s="62" t="str">
        <f>BlueP2</f>
        <v>Miller (B)</v>
      </c>
      <c r="B12" s="62" t="str">
        <f t="array" ref="B12">If(VLOOKUP(INDEX(MatchPlay1, Match(CONCATENATE("*", BlueP2, "*"), MatchPlay1, false), 0),MatchPlay1_VL, 2, false) = 0, "TBD", if(VLOOKUP(INDEX(MatchPlay1, Match(CONCATENATE("*", BlueP2, "*"), MatchPlay1, false), 0),MatchPlay1_VL, 3, false) = "halved", "halved", If(VLOOKUP(INDEX(MatchPlay1, Match(CONCATENATE("*", BlueP2, "*"), MatchPlay1, false), 0),MatchPlay1_VL, 3, false) &lt;&gt; "AS", if(left(VLOOKUP(INDEX(MatchPlay1, Match(CONCATENATE("*", BlueP2, "*"), MatchPlay1, false), 0),MatchPlay1_VL, 3, false), 1) = "b", "W", "L"), "TBD")))</f>
        <v>#N/A</v>
      </c>
      <c r="C12" s="62" t="str">
        <f t="array" ref="C12">If(VLOOKUP(INDEX(MatchPlay2, Match(CONCATENATE("*", BlueP2, "*"), MatchPlay2, false), 0),MatchPlay2_VL, 2, false) = 0, "TBD", if(VLOOKUP(INDEX(MatchPlay2, Match(CONCATENATE("*", BlueP2, "*"), MatchPlay2, false), 0),MatchPlay2_VL, 3, false) = "halved", "halved", If(VLOOKUP(INDEX(MatchPlay2, Match(CONCATENATE("*", BlueP2, "*"), MatchPlay2, false), 0),MatchPlay2_VL, 3, false) &lt;&gt; "AS", if(left(VLOOKUP(INDEX(MatchPlay2, Match(CONCATENATE("*", BlueP2, "*"), MatchPlay2, false), 0),MatchPlay2_VL, 3, false), 1) = "b", "W", "L"), "TBD")))</f>
        <v>#N/A</v>
      </c>
      <c r="D12" s="62" t="str">
        <f t="array" ref="D12">If(VLOOKUP(INDEX(MatchPlay3, Match(CONCATENATE("*", BlueP2, "*"), MatchPlay3, false), 0),MatchPlay3_VL, 2, false) = 0, "TBD", if(VLOOKUP(INDEX(MatchPlay3, Match(CONCATENATE("*", BlueP2, "*"), MatchPlay3, false), 0),MatchPlay3_VL, 3, false) = "halved", "halved", If(VLOOKUP(INDEX(MatchPlay3, Match(CONCATENATE("*", BlueP2, "*"), MatchPlay3, false), 0),MatchPlay3_VL, 3, false) &lt;&gt; "AS", if(left(VLOOKUP(INDEX(MatchPlay3, Match(CONCATENATE("*", BlueP2, "*"), MatchPlay3, false), 0),MatchPlay3_VL, 3, false), 1) = "a", "W", "L"), "TBD")))</f>
        <v>L</v>
      </c>
      <c r="E12" s="62" t="str">
        <f>SUM(IFS(B12="W", MPPointsW, B12="L", MPPointsL, B12="halved", MPPointsH, B12="TBD", "0"), IFS(C12="W", MPPointsW, C12="L", MPPointsL, C12="halved", MPPointsH, C12="TBD", "0"), IFS(D12="W", MPPointsW, D12="L", MPPointsL, D12="halved", MPPointsH, D12="TBD", "0"))</f>
        <v>#N/A</v>
      </c>
      <c r="F12" s="62" t="str">
        <f>IFS(LARGE(MPFlight2Total, 1)=E12, 1, LARGE(MPFlight2Total, 2)=E12, 2, LARGE(MPFlight2Total, 3)=E12, 3, LARGE(MPFlight2Total, 4)=E12, 4)</f>
        <v>#N/A</v>
      </c>
      <c r="G12" s="68" t="str">
        <f t="shared" si="1"/>
        <v>#N/A</v>
      </c>
      <c r="H12" s="68" t="str">
        <f>If(C12="TBD", 0, VLOOKUP(G12,MatchPlayPoints_VL, 2, false))</f>
        <v>#N/A</v>
      </c>
    </row>
    <row r="13">
      <c r="A13" s="70" t="str">
        <f>RedP2</f>
        <v>Ryan (R)</v>
      </c>
      <c r="B13" s="70" t="str">
        <f t="array" ref="B13">If(VLOOKUP(INDEX(MatchPlay1, Match(CONCATENATE("*", RedP2, "*"), MatchPlay1, false), 0),MatchPlay1_VL, 2, false) = 0, "TBD", if(VLOOKUP(INDEX(MatchPlay1, Match(CONCATENATE("*", RedP2, "*"), MatchPlay1, false), 0),MatchPlay1_VL, 3, false) = "halved", "halved", If(VLOOKUP(INDEX(MatchPlay1, Match(CONCATENATE("*", RedP2, "*"), MatchPlay1, false), 0),MatchPlay1_VL, 3, false) &lt;&gt; "AS", if(left(VLOOKUP(INDEX(MatchPlay1, Match(CONCATENATE("*", RedP2, "*"), MatchPlay1, false), 0),MatchPlay1_VL, 3, false), 1) = "b", "W", "L"), "TBD")))</f>
        <v>#N/A</v>
      </c>
      <c r="C13" s="70" t="str">
        <f t="array" ref="C13">If(VLOOKUP(INDEX(MatchPlay2, Match(CONCATENATE("*", RedP2, "*"), MatchPlay2, false), 0),MatchPlay2_VL, 2, false) = 0, "TBD", if(VLOOKUP(INDEX(MatchPlay2, Match(CONCATENATE("*", RedP2, "*"), MatchPlay2, false), 0),MatchPlay2_VL, 3, false) = "halved", "halved", If(VLOOKUP(INDEX(MatchPlay2, Match(CONCATENATE("*", RedP2, "*"), MatchPlay2, false), 0),MatchPlay2_VL, 3, false) &lt;&gt; "AS", if(left(VLOOKUP(INDEX(MatchPlay2, Match(CONCATENATE("*", RedP2, "*"), MatchPlay2, false), 0),MatchPlay2_VL, 3, false), 1) = "a", "W", "L"), "TBD")))</f>
        <v>L</v>
      </c>
      <c r="D13" s="70" t="str">
        <f t="array" ref="D13">If(VLOOKUP(INDEX(MatchPlay3, Match(CONCATENATE("*", RedP2, "*"), MatchPlay3, false), 0),MatchPlay3_VL, 2, false) = 0, "TBD", if(VLOOKUP(INDEX(MatchPlay3, Match(CONCATENATE("*", RedP2, "*"), MatchPlay3, false), 0),MatchPlay3_VL, 3, false) = "halved", "halved", If(VLOOKUP(INDEX(MatchPlay3, Match(CONCATENATE("*", RedP2, "*"), MatchPlay3, false), 0),MatchPlay3_VL, 3, false) &lt;&gt; "AS", if(left(VLOOKUP(INDEX(MatchPlay3, Match(CONCATENATE("*", RedP2, "*"), MatchPlay3, false), 0),MatchPlay3_VL, 3, false), 1) = "b", "W", "L"), "TBD")))</f>
        <v>#N/A</v>
      </c>
      <c r="E13" s="70" t="str">
        <f>SUM(IFS(B13="W", MPPointsW, B13="L", MPPointsL, B13="halved", MPPointsH, B13="TBD", "0"), IFS(C13="W", MPPointsW, C13="L", MPPointsL, C13="halved", MPPointsH, C13="TBD", "0"), IFS(D13="W", MPPointsW, D13="L", MPPointsL, D13="halved", MPPointsH, D13="TBD", "0"))</f>
        <v>#N/A</v>
      </c>
      <c r="F13" s="70" t="str">
        <f>IFS(LARGE(MPFlight2Total, 1)=E13, 1, LARGE(MPFlight2Total, 2)=E13, 2, LARGE(MPFlight2Total, 3)=E13, 3, LARGE(MPFlight2Total, 4)=E13, 4)</f>
        <v>#N/A</v>
      </c>
      <c r="G13" s="68" t="str">
        <f t="shared" si="1"/>
        <v>#N/A</v>
      </c>
      <c r="H13" s="68" t="str">
        <f>If(C13="TBD", 0, VLOOKUP(G13,MatchPlayPoints_VL, 2, false))</f>
        <v>#N/A</v>
      </c>
    </row>
    <row r="15">
      <c r="A15" s="10" t="s">
        <v>67</v>
      </c>
      <c r="B15" s="16"/>
      <c r="C15" s="16"/>
      <c r="D15" s="16"/>
      <c r="E15" s="16"/>
      <c r="F15" s="16"/>
      <c r="G15" s="16"/>
      <c r="H15" s="11"/>
    </row>
    <row r="16">
      <c r="A16" s="13" t="s">
        <v>59</v>
      </c>
      <c r="B16" s="13" t="s">
        <v>60</v>
      </c>
      <c r="C16" s="13" t="s">
        <v>61</v>
      </c>
      <c r="D16" s="13" t="s">
        <v>62</v>
      </c>
      <c r="E16" s="13" t="s">
        <v>63</v>
      </c>
      <c r="F16" s="13" t="s">
        <v>64</v>
      </c>
      <c r="G16" s="13" t="s">
        <v>64</v>
      </c>
      <c r="H16" s="13" t="s">
        <v>65</v>
      </c>
    </row>
    <row r="17">
      <c r="A17" s="64" t="str">
        <f>WhiteP3</f>
        <v>Adam (W)</v>
      </c>
      <c r="B17" s="64" t="str">
        <f t="array" ref="B17">If(VLOOKUP(INDEX(MatchPlay1, Match(CONCATENATE("*", WhiteP3, "*"), MatchPlay1, false), 0),MatchPlay1_VL, 2, false) = 0, "TBD", if(VLOOKUP(INDEX(MatchPlay1, Match(CONCATENATE("*", WhiteP3, "*"), MatchPlay1, false), 0),MatchPlay1_VL, 3, false) = "halved", "halved", If(VLOOKUP(INDEX(MatchPlay1, Match(CONCATENATE("*", WhiteP3, "*"), MatchPlay1, false), 0),MatchPlay1_VL, 3, false) &lt;&gt; "AS", if(left(VLOOKUP(INDEX(MatchPlay1, Match(CONCATENATE("*", WhiteP3, "*"), MatchPlay1, false), 0),MatchPlay1_VL, 3, false), 1) = "a", "W", "L"), "TBD")))</f>
        <v>L</v>
      </c>
      <c r="C17" s="64" t="str">
        <f t="array" ref="C17">If(VLOOKUP(INDEX(MatchPlay2, Match(CONCATENATE("*", WhiteP3, "*"), MatchPlay2, false), 0),MatchPlay2_VL, 2, false) = 0, "TBD", if(VLOOKUP(INDEX(MatchPlay2, Match(CONCATENATE("*", WhiteP3, "*"), MatchPlay2, false), 0),MatchPlay2_VL, 3, false) = "halved", "halved", If(VLOOKUP(INDEX(MatchPlay2, Match(CONCATENATE("*", WhiteP3, "*"), MatchPlay2, false), 0),MatchPlay2_VL, 3, false) &lt;&gt; "AS", if(left(VLOOKUP(INDEX(MatchPlay2, Match(CONCATENATE("*", WhiteP3, "*"), MatchPlay2, false), 0),MatchPlay2_VL, 3, false), 1) = "a", "W", "L"), "TBD")))</f>
        <v>L</v>
      </c>
      <c r="D17" s="64" t="str">
        <f t="array" ref="D17">If(VLOOKUP(INDEX(MatchPlay3, Match(CONCATENATE("*", WhiteP3, "*"), MatchPlay3, false), 0),MatchPlay3_VL, 2, false) = 0, "TBD", if(VLOOKUP(INDEX(MatchPlay3, Match(CONCATENATE("*", WhiteP3, "*"), MatchPlay3, false), 0),MatchPlay3_VL, 3, false) = "halved", "halved", If(VLOOKUP(INDEX(MatchPlay3, Match(CONCATENATE("*", WhiteP3, "*"), MatchPlay3, false), 0),MatchPlay3_VL, 3, false) &lt;&gt; "AS", if(left(VLOOKUP(INDEX(MatchPlay3, Match(CONCATENATE("*", WhiteP3, "*"), MatchPlay3, false), 0),MatchPlay3_VL, 3, false), 1) = "a", "W", "L"), "TBD")))</f>
        <v>L</v>
      </c>
      <c r="E17" s="64">
        <f>SUM(IFS(B17="W", MPPointsW, B17="L", MPPointsL, B17="halved", MPPointsH, B17="TBD", "0"), IFS(C17="W", MPPointsW, C17="L", MPPointsL, C17="halved", MPPointsH, C17="TBD", "0"), IFS(D17="W", MPPointsW, D17="L", MPPointsL, D17="halved", MPPointsH, D17="TBD", "0"))</f>
        <v>0</v>
      </c>
      <c r="F17" s="64" t="str">
        <f>IFS(LARGE(MPFlight3Total, 1)=E17, 1, LARGE(MPFlight3Total, 2)=E17, 2, LARGE(MPFlight3Total, 3)=E17, 3, LARGE(MPFlight3Total, 4)=E17, 4)</f>
        <v>#N/A</v>
      </c>
      <c r="G17" s="68" t="str">
        <f t="shared" ref="G17:G20" si="2">If(C17="TBD", 0, F17)</f>
        <v>#N/A</v>
      </c>
      <c r="H17" s="68" t="str">
        <f>If(C17="TBD", 0, VLOOKUP(G17,MatchPlayPoints_VL, 2, false))</f>
        <v>#N/A</v>
      </c>
    </row>
    <row r="18">
      <c r="A18" s="60" t="str">
        <f>BlackP3</f>
        <v>Andy (A)</v>
      </c>
      <c r="B18" s="60" t="str">
        <f t="array" ref="B18">If(VLOOKUP(INDEX(MatchPlay1, Match(CONCATENATE("*", BlackP3, "*"), MatchPlay1, false), 0),MatchPlay1_VL, 2, false) = 0, "TBD", if(VLOOKUP(INDEX(MatchPlay1, Match(CONCATENATE("*", BlackP3, "*"), MatchPlay1, false), 0),MatchPlay1_VL, 3, false) = "halved", "halved", If(VLOOKUP(INDEX(MatchPlay1, Match(CONCATENATE("*", BlackP3, "*"), MatchPlay1, false), 0),MatchPlay1_VL, 3, false) &lt;&gt; "AS", if(left(VLOOKUP(INDEX(MatchPlay1, Match(CONCATENATE("*", BlackP3, "*"), MatchPlay1, false), 0),MatchPlay1_VL, 3, false), 1) = "b", "W", "L"), "TBD")))</f>
        <v>#N/A</v>
      </c>
      <c r="C18" s="60" t="str">
        <f t="array" ref="C18">If(VLOOKUP(INDEX(MatchPlay2, Match(CONCATENATE("*", BlackP3, "*"), MatchPlay2, false), 0),MatchPlay2_VL, 2, false) = 0, "TBD", if(VLOOKUP(INDEX(MatchPlay2, Match(CONCATENATE("*", BlackP3, "*"), MatchPlay2, false), 0),MatchPlay2_VL, 3, false) = "halved", "halved", If(VLOOKUP(INDEX(MatchPlay2, Match(CONCATENATE("*", BlackP3, "*"), MatchPlay2, false), 0),MatchPlay2_VL, 3, false) &lt;&gt; "AS", if(left(VLOOKUP(INDEX(MatchPlay2, Match(CONCATENATE("*", BlackP3, "*"), MatchPlay2, false), 0),MatchPlay2_VL, 3, false), 1) = "b", "W", "L"), "TBD")))</f>
        <v>#N/A</v>
      </c>
      <c r="D18" s="60" t="str">
        <f t="array" ref="D18">If(VLOOKUP(INDEX(MatchPlay3, Match(CONCATENATE("*", BlackP3, "*"), MatchPlay3, false), 0),MatchPlay3_VL, 2, false) = 0, "TBD", if(VLOOKUP(INDEX(MatchPlay3, Match(CONCATENATE("*", BlackP3, "*"), MatchPlay3, false), 0),MatchPlay3_VL, 3, false) = "halved", "halved", If(VLOOKUP(INDEX(MatchPlay3, Match(CONCATENATE("*", BlackP3, "*"), MatchPlay3, false), 0),MatchPlay3_VL, 3, false) &lt;&gt; "AS", if(left(VLOOKUP(INDEX(MatchPlay3, Match(CONCATENATE("*", BlackP3, "*"), MatchPlay3, false), 0),MatchPlay3_VL, 3, false), 1) = "a", "W", "L"), "TBD")))</f>
        <v>L</v>
      </c>
      <c r="E18" s="60" t="str">
        <f>SUM(IFS(B18="W", MPPointsW, B18="L", MPPointsL, B18="halved", MPPointsH, B18="TBD", "0"), IFS(C18="W", MPPointsW, C18="L", MPPointsL, C18="halved", MPPointsH, C18="TBD", "0"), IFS(D18="W", MPPointsW, D18="L", MPPointsL, D18="halved", MPPointsH, D18="TBD", "0"))</f>
        <v>#N/A</v>
      </c>
      <c r="F18" s="60" t="str">
        <f>IFS(LARGE(MPFlight3Total, 1)=E18, 1, LARGE(MPFlight3Total, 2)=E18, 2, LARGE(MPFlight3Total, 3)=E18, 3, LARGE(MPFlight3Total, 4)=E18, 4)</f>
        <v>#N/A</v>
      </c>
      <c r="G18" s="68" t="str">
        <f t="shared" si="2"/>
        <v>#N/A</v>
      </c>
      <c r="H18" s="68" t="str">
        <f>If(C18="TBD", 0, VLOOKUP(G18,MatchPlayPoints_VL, 2, false))</f>
        <v>#N/A</v>
      </c>
    </row>
    <row r="19">
      <c r="A19" s="62" t="str">
        <f>BlueP3</f>
        <v>Joe (B)</v>
      </c>
      <c r="B19" s="62" t="str">
        <f t="array" ref="B19">If(VLOOKUP(INDEX(MatchPlay1, Match(CONCATENATE("*", BlueP3, "*"), MatchPlay1, false), 0),MatchPlay1_VL, 2, false) = 0, "TBD", if(VLOOKUP(INDEX(MatchPlay1, Match(CONCATENATE("*", BlueP3, "*"), MatchPlay1, false), 0),MatchPlay1_VL, 3, false) = "halved", "halved", If(VLOOKUP(INDEX(MatchPlay1, Match(CONCATENATE("*", BlueP3, "*"), MatchPlay1, false), 0),MatchPlay1_VL, 3, false) &lt;&gt; "AS", if(left(VLOOKUP(INDEX(MatchPlay1, Match(CONCATENATE("*", BlueP3, "*"), MatchPlay1, false), 0),MatchPlay1_VL, 3, false), 1) = "b", "W", "L"), "TBD")))</f>
        <v>#N/A</v>
      </c>
      <c r="C19" s="62" t="str">
        <f t="array" ref="C19">If(VLOOKUP(INDEX(MatchPlay2, Match(CONCATENATE("*", BlueP3, "*"), MatchPlay2, false), 0),MatchPlay2_VL, 2, false) = 0, "TBD", if(VLOOKUP(INDEX(MatchPlay2, Match(CONCATENATE("*", BlueP3, "*"), MatchPlay2, false), 0),MatchPlay2_VL, 3, false) = "halved", "halved", If(VLOOKUP(INDEX(MatchPlay2, Match(CONCATENATE("*", BlueP3, "*"), MatchPlay2, false), 0),MatchPlay2_VL, 3, false) &lt;&gt; "AS", if(left(VLOOKUP(INDEX(MatchPlay2, Match(CONCATENATE("*", BlueP3, "*"), MatchPlay2, false), 0),MatchPlay2_VL, 3, false), 1) = "a", "W", "L"), "TBD")))</f>
        <v>L</v>
      </c>
      <c r="D19" s="62" t="str">
        <f t="array" ref="D19">If(VLOOKUP(INDEX(MatchPlay3, Match(CONCATENATE("*", BlueP3, "*"), MatchPlay3, false), 0),MatchPlay3_VL, 2, false) = 0, "TBD", if(VLOOKUP(INDEX(MatchPlay3, Match(CONCATENATE("*", BlueP3, "*"), MatchPlay3, false), 0),MatchPlay3_VL, 3, false) = "halved", "halved", If(VLOOKUP(INDEX(MatchPlay3, Match(CONCATENATE("*", BlueP3, "*"), MatchPlay3, false), 0),MatchPlay3_VL, 3, false) &lt;&gt; "AS", if(left(VLOOKUP(INDEX(MatchPlay3, Match(CONCATENATE("*", BlueP3, "*"), MatchPlay3, false), 0),MatchPlay3_VL, 3, false), 1) = "b", "W", "L"), "TBD")))</f>
        <v>#N/A</v>
      </c>
      <c r="E19" s="62" t="str">
        <f>SUM(IFS(B19="W", MPPointsW, B19="L", MPPointsL, B19="halved", MPPointsH, B19="TBD", "0"), IFS(C19="W", MPPointsW, C19="L", MPPointsL, C19="halved", MPPointsH, C19="TBD", "0"), IFS(D19="W", MPPointsW, D19="L", MPPointsL, D19="halved", MPPointsH, D19="TBD", "0"))</f>
        <v>#N/A</v>
      </c>
      <c r="F19" s="62" t="str">
        <f>IFS(LARGE(MPFlight3Total, 1)=E19, 1, LARGE(MPFlight3Total, 2)=E19, 2, LARGE(MPFlight3Total, 3)=E19, 3, LARGE(MPFlight3Total, 4)=E19, 4)</f>
        <v>#N/A</v>
      </c>
      <c r="G19" s="68" t="str">
        <f t="shared" si="2"/>
        <v>#N/A</v>
      </c>
      <c r="H19" s="68" t="str">
        <f>If(C19="TBD", 0, VLOOKUP(G19,MatchPlayPoints_VL, 2, false))</f>
        <v>#N/A</v>
      </c>
    </row>
    <row r="20">
      <c r="A20" s="70" t="str">
        <f>RedP3</f>
        <v>Tyler (R)</v>
      </c>
      <c r="B20" s="70" t="str">
        <f t="array" ref="B20">If(VLOOKUP(INDEX(MatchPlay1, Match(CONCATENATE("*", RedP3, "*"), MatchPlay1, false), 0),MatchPlay1_VL, 2, false) = 0, "TBD", if(VLOOKUP(INDEX(MatchPlay1, Match(CONCATENATE("*", RedP3, "*"), MatchPlay1, false), 0),MatchPlay1_VL, 3, false) = "halved", "halved", If(VLOOKUP(INDEX(MatchPlay1, Match(CONCATENATE("*", RedP3, "*"), MatchPlay1, false), 0),MatchPlay1_VL, 3, false) &lt;&gt; "AS", if(left(VLOOKUP(INDEX(MatchPlay1, Match(CONCATENATE("*", RedP3, "*"), MatchPlay1, false), 0),MatchPlay1_VL, 3, false), 1) = "a", "W", "L"), "TBD")))</f>
        <v>L</v>
      </c>
      <c r="C20" s="70" t="str">
        <f t="array" ref="C20">If(VLOOKUP(INDEX(MatchPlay2, Match(CONCATENATE("*", RedP3, "*"), MatchPlay2, false), 0),MatchPlay2_VL, 2, false) = 0, "TBD", if(VLOOKUP(INDEX(MatchPlay2, Match(CONCATENATE("*", RedP3, "*"), MatchPlay2, false), 0),MatchPlay2_VL, 3, false) = "halved", "halved", If(VLOOKUP(INDEX(MatchPlay2, Match(CONCATENATE("*", RedP3, "*"), MatchPlay2, false), 0),MatchPlay2_VL, 3, false) &lt;&gt; "AS", if(left(VLOOKUP(INDEX(MatchPlay2, Match(CONCATENATE("*", RedP3, "*"), MatchPlay2, false), 0),MatchPlay2_VL, 3, false), 1) = "b", "W", "L"), "TBD")))</f>
        <v>#N/A</v>
      </c>
      <c r="D20" s="70" t="str">
        <f t="array" ref="D20">If(VLOOKUP(INDEX(MatchPlay3, Match(CONCATENATE("*", RedP3, "*"), MatchPlay3, false), 0),MatchPlay3_VL, 2, false) = 0, "TBD", if(VLOOKUP(INDEX(MatchPlay3, Match(CONCATENATE("*", RedP3, "*"), MatchPlay3, false), 0),MatchPlay3_VL, 3, false) = "halved", "halved", If(VLOOKUP(INDEX(MatchPlay3, Match(CONCATENATE("*", RedP3, "*"), MatchPlay3, false), 0),MatchPlay3_VL, 3, false) &lt;&gt; "AS", if(left(VLOOKUP(INDEX(MatchPlay3, Match(CONCATENATE("*", RedP3, "*"), MatchPlay3, false), 0),MatchPlay3_VL, 3, false), 1) = "b", "W", "L"), "TBD")))</f>
        <v>#N/A</v>
      </c>
      <c r="E20" s="70" t="str">
        <f>SUM(IFS(B20="W", MPPointsW, B20="L", MPPointsL, B20="halved", MPPointsH, B20="TBD", "0"), IFS(C20="W", MPPointsW, C20="L", MPPointsL, C20="halved", MPPointsH, C20="TBD", "0"), IFS(D20="W", MPPointsW, D20="L", MPPointsL, D20="halved", MPPointsH, D20="TBD", "0"))</f>
        <v>#N/A</v>
      </c>
      <c r="F20" s="70" t="str">
        <f>IFS(LARGE(MPFlight3Total, 1)=E20, 1, LARGE(MPFlight3Total, 2)=E20, 2, LARGE(MPFlight3Total, 3)=E20, 3, LARGE(MPFlight3Total, 4)=E20, 4)</f>
        <v>#N/A</v>
      </c>
      <c r="G20" s="68" t="str">
        <f t="shared" si="2"/>
        <v>#N/A</v>
      </c>
      <c r="H20" s="68" t="str">
        <f>If(C20="TBD", 0, VLOOKUP(G20,MatchPlayPoints_VL, 2, false))</f>
        <v>#N/A</v>
      </c>
    </row>
    <row r="22">
      <c r="A22" s="10" t="s">
        <v>68</v>
      </c>
      <c r="B22" s="16"/>
      <c r="C22" s="16"/>
      <c r="D22" s="16"/>
      <c r="E22" s="16"/>
      <c r="F22" s="16"/>
      <c r="G22" s="16"/>
      <c r="H22" s="11"/>
    </row>
    <row r="23">
      <c r="A23" s="13" t="s">
        <v>59</v>
      </c>
      <c r="B23" s="13" t="s">
        <v>60</v>
      </c>
      <c r="C23" s="13" t="s">
        <v>61</v>
      </c>
      <c r="D23" s="13" t="s">
        <v>62</v>
      </c>
      <c r="E23" s="13" t="s">
        <v>63</v>
      </c>
      <c r="F23" s="13" t="s">
        <v>64</v>
      </c>
      <c r="G23" s="13" t="s">
        <v>64</v>
      </c>
      <c r="H23" s="13" t="s">
        <v>65</v>
      </c>
    </row>
    <row r="24">
      <c r="A24" s="64" t="str">
        <f>WhiteP4</f>
        <v>Chad (W)</v>
      </c>
      <c r="B24" s="64" t="str">
        <f t="array" ref="B24">If(VLOOKUP(INDEX(MatchPlay1, Match(CONCATENATE("*", WhiteP4, "*"), MatchPlay1, false), 0),MatchPlay1_VL, 2, false) = 0, "TBD", if(VLOOKUP(INDEX(MatchPlay1, Match(CONCATENATE("*", WhiteP4, "*"), MatchPlay1, false), 0),MatchPlay1_VL, 3, false) = "halved", "halved", If(VLOOKUP(INDEX(MatchPlay1, Match(CONCATENATE("*", WhiteP4, "*"), MatchPlay1, false), 0),MatchPlay1_VL, 3, false) &lt;&gt; "AS", if(left(VLOOKUP(INDEX(MatchPlay1, Match(CONCATENATE("*", WhiteP4, "*"), MatchPlay1, false), 0),MatchPlay1_VL, 3, false), 1) = "a", "W", "L"), "TBD")))</f>
        <v>L</v>
      </c>
      <c r="C24" s="64" t="str">
        <f t="array" ref="C24">If(VLOOKUP(INDEX(MatchPlay2, Match(CONCATENATE("*", WhiteP4, "*"), MatchPlay2, false), 0),MatchPlay2_VL, 2, false) = 0, "TBD", if(VLOOKUP(INDEX(MatchPlay2, Match(CONCATENATE("*", WhiteP4, "*"), MatchPlay2, false), 0),MatchPlay2_VL, 3, false) = "halved", "halved", If(VLOOKUP(INDEX(MatchPlay2, Match(CONCATENATE("*", WhiteP4, "*"), MatchPlay2, false), 0),MatchPlay2_VL, 3, false) &lt;&gt; "AS", if(left(VLOOKUP(INDEX(MatchPlay2, Match(CONCATENATE("*", WhiteP4, "*"), MatchPlay2, false), 0),MatchPlay2_VL, 3, false), 1) = "a", "W", "L"), "TBD")))</f>
        <v>L</v>
      </c>
      <c r="D24" s="64" t="str">
        <f t="array" ref="D24">If(VLOOKUP(INDEX(MatchPlay3, Match(CONCATENATE("*", WhiteP4, "*"), MatchPlay3, false), 0),MatchPlay3_VL, 2, false) = 0, "TBD", if(VLOOKUP(INDEX(MatchPlay3, Match(CONCATENATE("*", WhiteP4, "*"), MatchPlay3, false), 0),MatchPlay3_VL, 3, false) = "halved", "halved", If(VLOOKUP(INDEX(MatchPlay3, Match(CONCATENATE("*", WhiteP4, "*"), MatchPlay3, false), 0),MatchPlay3_VL, 3, false) &lt;&gt; "AS", if(left(VLOOKUP(INDEX(MatchPlay3, Match(CONCATENATE("*", WhiteP4, "*"), MatchPlay3, false), 0),MatchPlay3_VL, 3, false), 1) = "a", "W", "L"), "TBD")))</f>
        <v>L</v>
      </c>
      <c r="E24" s="64">
        <f>SUM(IFS(B24="W", MPPointsW, B24="L", MPPointsL, B24="halved", MPPointsH, B24="TBD", "0"), IFS(C24="W", MPPointsW, C24="L", MPPointsL, C24="halved", MPPointsH, C24="TBD", "0"), IFS(D24="W", MPPointsW, D24="L", MPPointsL, D24="halved", MPPointsH, D24="TBD", "0"))</f>
        <v>0</v>
      </c>
      <c r="F24" s="64" t="str">
        <f>IFS(LARGE(MPFlight4Total, 1)=E24, 1, LARGE(MPFlight4Total, 2)=E24, 2, LARGE(MPFlight4Total, 3)=E24, 3, LARGE(MPFlight4Total, 4)=E24, 4)</f>
        <v>#N/A</v>
      </c>
      <c r="G24" s="69">
        <v>3.0</v>
      </c>
      <c r="H24" s="68">
        <f>If(C24="TBD", 0, VLOOKUP(G24,MatchPlayPoints_VL, 2, false))</f>
        <v>0.5</v>
      </c>
    </row>
    <row r="25">
      <c r="A25" s="60" t="str">
        <f>BlackP4</f>
        <v>Paul (A)</v>
      </c>
      <c r="B25" s="60" t="str">
        <f t="array" ref="B25">If(VLOOKUP(INDEX(MatchPlay1, Match(CONCATENATE("*", BlackP4, "*"), MatchPlay1, false), 0),MatchPlay1_VL, 2, false) = 0, "TBD", if(VLOOKUP(INDEX(MatchPlay1, Match(CONCATENATE("*", BlackP4, "*"), MatchPlay1, false), 0),MatchPlay1_VL, 3, false) = "halved", "halved", If(VLOOKUP(INDEX(MatchPlay1, Match(CONCATENATE("*", BlackP4, "*"), MatchPlay1, false), 0),MatchPlay1_VL, 3, false) &lt;&gt; "AS", if(left(VLOOKUP(INDEX(MatchPlay1, Match(CONCATENATE("*", BlackP4, "*"), MatchPlay1, false), 0),MatchPlay1_VL, 3, false), 1) = "b", "W", "L"), "TBD")))</f>
        <v>#N/A</v>
      </c>
      <c r="C25" s="60" t="str">
        <f t="array" ref="C25">If(VLOOKUP(INDEX(MatchPlay2, Match(CONCATENATE("*", BlackP4, "*"), MatchPlay2, false), 0),MatchPlay2_VL, 2, false) = 0, "TBD", if(VLOOKUP(INDEX(MatchPlay2, Match(CONCATENATE("*", BlackP4, "*"), MatchPlay2, false), 0),MatchPlay2_VL, 3, false) = "halved", "halved", If(VLOOKUP(INDEX(MatchPlay2, Match(CONCATENATE("*", BlackP4, "*"), MatchPlay2, false), 0),MatchPlay2_VL, 3, false) &lt;&gt; "AS", if(left(VLOOKUP(INDEX(MatchPlay2, Match(CONCATENATE("*", BlackP4, "*"), MatchPlay2, false), 0),MatchPlay2_VL, 3, false), 1) = "a", "W", "L"), "TBD")))</f>
        <v>L</v>
      </c>
      <c r="D25" s="60" t="str">
        <f t="array" ref="D25">If(VLOOKUP(INDEX(MatchPlay3, Match(CONCATENATE("*", BlackP4, "*"), MatchPlay3, false), 0),MatchPlay3_VL, 2, false) = 0, "TBD", if(VLOOKUP(INDEX(MatchPlay3, Match(CONCATENATE("*", BlackP4, "*"), MatchPlay3, false), 0),MatchPlay3_VL, 3, false) = "halved", "halved", If(VLOOKUP(INDEX(MatchPlay3, Match(CONCATENATE("*", BlackP4, "*"), MatchPlay3, false), 0),MatchPlay3_VL, 3, false) &lt;&gt; "AS", if(left(VLOOKUP(INDEX(MatchPlay3, Match(CONCATENATE("*", BlackP4, "*"), MatchPlay3, false), 0),MatchPlay3_VL, 3, false), 1) = "b", "W", "L"), "TBD")))</f>
        <v>#N/A</v>
      </c>
      <c r="E25" s="60" t="str">
        <f>SUM(IFS(B25="W", MPPointsW, B25="L", MPPointsL, B25="halved", MPPointsH, B25="TBD", "0"), IFS(C25="W", MPPointsW, C25="L", MPPointsL, C25="halved", MPPointsH, C25="TBD", "0"), IFS(D25="W", MPPointsW, D25="L", MPPointsL, D25="halved", MPPointsH, D25="TBD", "0"))</f>
        <v>#N/A</v>
      </c>
      <c r="F25" s="60" t="str">
        <f>IFS(LARGE(MPFlight4Total, 1)=E25, 1, LARGE(MPFlight4Total, 2)=E25, 2, LARGE(MPFlight4Total, 3)=E25, 3, LARGE(MPFlight4Total, 4)=E25, 4)</f>
        <v>#N/A</v>
      </c>
      <c r="G25" s="68" t="str">
        <f>If(C25="TBD", 0, F25)</f>
        <v>#N/A</v>
      </c>
      <c r="H25" s="68" t="str">
        <f>If(C25="TBD", 0, VLOOKUP(G25,MatchPlayPoints_VL, 2, false))</f>
        <v>#N/A</v>
      </c>
    </row>
    <row r="26">
      <c r="A26" s="62" t="str">
        <f>BlueP4</f>
        <v>Kelly (B)</v>
      </c>
      <c r="B26" s="62" t="str">
        <f t="array" ref="B26">If(VLOOKUP(INDEX(MatchPlay1, Match(CONCATENATE("*", BlueP4, "*"), MatchPlay1, false), 0),MatchPlay1_VL, 2, false) = 0, "TBD", if(VLOOKUP(INDEX(MatchPlay1, Match(CONCATENATE("*", BlueP4, "*"), MatchPlay1, false), 0),MatchPlay1_VL, 3, false) = "halved", "halved", If(VLOOKUP(INDEX(MatchPlay1, Match(CONCATENATE("*", BlueP4, "*"), MatchPlay1, false), 0),MatchPlay1_VL, 3, false) &lt;&gt; "AS", if(left(VLOOKUP(INDEX(MatchPlay1, Match(CONCATENATE("*", BlueP4, "*"), MatchPlay1, false), 0),MatchPlay1_VL, 3, false), 1) = "a", "W", "L"), "TBD")))</f>
        <v>L</v>
      </c>
      <c r="C26" s="62" t="str">
        <f t="array" ref="C26">If(VLOOKUP(INDEX(MatchPlay2, Match(CONCATENATE("*", BlueP4, "*"), MatchPlay2, false), 0),MatchPlay2_VL, 2, false) = 0, "TBD", if(VLOOKUP(INDEX(MatchPlay2, Match(CONCATENATE("*", BlueP4, "*"), MatchPlay2, false), 0),MatchPlay2_VL, 3, false) = "halved", "halved", If(VLOOKUP(INDEX(MatchPlay2, Match(CONCATENATE("*", BlueP4, "*"), MatchPlay2, false), 0),MatchPlay2_VL, 3, false) &lt;&gt; "AS", if(left(VLOOKUP(INDEX(MatchPlay2, Match(CONCATENATE("*", BlueP4, "*"), MatchPlay2, false), 0),MatchPlay2_VL, 3, false), 1) = "b", "W", "L"), "TBD")))</f>
        <v>#N/A</v>
      </c>
      <c r="D26" s="62" t="str">
        <f t="array" ref="D26">If(VLOOKUP(INDEX(MatchPlay3, Match(CONCATENATE("*", BlueP4, "*"), MatchPlay3, false), 0),MatchPlay3_VL, 2, false) = 0, "TBD", if(VLOOKUP(INDEX(MatchPlay3, Match(CONCATENATE("*", BlueP4, "*"), MatchPlay3, false), 0),MatchPlay3_VL, 3, false) = "halved", "halved", If(VLOOKUP(INDEX(MatchPlay3, Match(CONCATENATE("*", BlueP4, "*"), MatchPlay3, false), 0),MatchPlay3_VL, 3, false) &lt;&gt; "AS", if(left(VLOOKUP(INDEX(MatchPlay3, Match(CONCATENATE("*", BlueP4, "*"), MatchPlay3, false), 0),MatchPlay3_VL, 3, false), 1) = "b", "W", "L"), "TBD")))</f>
        <v>#N/A</v>
      </c>
      <c r="E26" s="62" t="str">
        <f>SUM(IFS(B26="W", MPPointsW, B26="L", MPPointsL, B26="halved", MPPointsH, B26="TBD", "0"), IFS(C26="W", MPPointsW, C26="L", MPPointsL, C26="halved", MPPointsH, C26="TBD", "0"), IFS(D26="W", MPPointsW, D26="L", MPPointsL, D26="halved", MPPointsH, D26="TBD", "0"))</f>
        <v>#N/A</v>
      </c>
      <c r="F26" s="62" t="str">
        <f>IFS(LARGE(MPFlight4Total, 1)=E26, 1, LARGE(MPFlight4Total, 2)=E26, 2, LARGE(MPFlight4Total, 3)=E26, 3, LARGE(MPFlight4Total, 4)=E26, 4)</f>
        <v>#N/A</v>
      </c>
      <c r="G26" s="69">
        <v>2.0</v>
      </c>
      <c r="H26" s="68" t="str">
        <f>If(C26="TBD", 0, VLOOKUP(G26,MatchPlayPoints_VL, 2, false))</f>
        <v>#N/A</v>
      </c>
    </row>
    <row r="27">
      <c r="A27" s="70" t="str">
        <f>RedP4</f>
        <v>Riley (R)</v>
      </c>
      <c r="B27" s="70" t="str">
        <f t="array" ref="B27">If(VLOOKUP(INDEX(MatchPlay1, Match(CONCATENATE("*", RedP4, "*"), MatchPlay1, false), 0),MatchPlay1_VL, 2, false) = 0, "TBD", if(VLOOKUP(INDEX(MatchPlay1, Match(CONCATENATE("*", RedP4, "*"), MatchPlay1, false), 0),MatchPlay1_VL, 3, false) = "halved", "halved", If(VLOOKUP(INDEX(MatchPlay1, Match(CONCATENATE("*", RedP4, "*"), MatchPlay1, false), 0),MatchPlay1_VL, 3, false) &lt;&gt; "AS", if(left(VLOOKUP(INDEX(MatchPlay1, Match(CONCATENATE("*", RedP4, "*"), MatchPlay1, false), 0),MatchPlay1_VL, 3, false), 1) = "b", "W", "L"), "TBD")))</f>
        <v>#N/A</v>
      </c>
      <c r="C27" s="70" t="str">
        <f t="array" ref="C27">If(VLOOKUP(INDEX(MatchPlay2, Match(CONCATENATE("*", RedP4, "*"), MatchPlay2, false), 0),MatchPlay2_VL, 2, false) = 0, "TBD", if(VLOOKUP(INDEX(MatchPlay2, Match(CONCATENATE("*", RedP4, "*"), MatchPlay2, false), 0),MatchPlay2_VL, 3, false) = "halved", "halved", If(VLOOKUP(INDEX(MatchPlay2, Match(CONCATENATE("*", RedP4, "*"), MatchPlay2, false), 0),MatchPlay2_VL, 3, false) &lt;&gt; "AS", if(left(VLOOKUP(INDEX(MatchPlay2, Match(CONCATENATE("*", RedP4, "*"), MatchPlay2, false), 0),MatchPlay2_VL, 3, false), 1) = "b", "W", "L"), "TBD")))</f>
        <v>#N/A</v>
      </c>
      <c r="D27" s="70" t="str">
        <f t="array" ref="D27">If(VLOOKUP(INDEX(MatchPlay3, Match(CONCATENATE("*", RedP4, "*"), MatchPlay3, false), 0),MatchPlay3_VL, 2, false) = 0, "TBD", if(VLOOKUP(INDEX(MatchPlay3, Match(CONCATENATE("*", RedP4, "*"), MatchPlay3, false), 0),MatchPlay3_VL, 3, false) = "halved", "halved", If(VLOOKUP(INDEX(MatchPlay3, Match(CONCATENATE("*", RedP4, "*"), MatchPlay3, false), 0),MatchPlay3_VL, 3, false) &lt;&gt; "AS", if(left(VLOOKUP(INDEX(MatchPlay3, Match(CONCATENATE("*", RedP4, "*"), MatchPlay3, false), 0),MatchPlay3_VL, 3, false), 1) = "a", "W", "L"), "TBD")))</f>
        <v>L</v>
      </c>
      <c r="E27" s="70" t="str">
        <f>SUM(IFS(B27="W", MPPointsW, B27="L", MPPointsL, B27="halved", MPPointsH, B27="TBD", "0"), IFS(C27="W", MPPointsW, C27="L", MPPointsL, C27="halved", MPPointsH, C27="TBD", "0"), IFS(D27="W", MPPointsW, D27="L", MPPointsL, D27="halved", MPPointsH, D27="TBD", "0"))</f>
        <v>#N/A</v>
      </c>
      <c r="F27" s="70" t="str">
        <f>IFS(LARGE(MPFlight4Total, 1)=E27, 1, LARGE(MPFlight4Total, 2)=E27, 2, LARGE(MPFlight4Total, 3)=E27, 3, LARGE(MPFlight4Total, 4)=E27, 4)</f>
        <v>#N/A</v>
      </c>
      <c r="G27" s="68" t="str">
        <f>If(C27="TBD", 0, F27)</f>
        <v>#N/A</v>
      </c>
      <c r="H27" s="68" t="str">
        <f>If(C27="TBD", 0, VLOOKUP(G27,MatchPlayPoints_VL, 2, false))</f>
        <v>#N/A</v>
      </c>
    </row>
    <row r="29">
      <c r="A29" s="10" t="s">
        <v>69</v>
      </c>
      <c r="B29" s="16"/>
      <c r="C29" s="16"/>
      <c r="D29" s="16"/>
      <c r="E29" s="16"/>
      <c r="F29" s="16"/>
      <c r="G29" s="16"/>
      <c r="H29" s="11"/>
    </row>
    <row r="30">
      <c r="A30" s="13" t="s">
        <v>59</v>
      </c>
      <c r="B30" s="13" t="s">
        <v>60</v>
      </c>
      <c r="C30" s="13" t="s">
        <v>61</v>
      </c>
      <c r="D30" s="13" t="s">
        <v>62</v>
      </c>
      <c r="E30" s="13" t="s">
        <v>63</v>
      </c>
      <c r="F30" s="13" t="s">
        <v>64</v>
      </c>
      <c r="G30" s="13" t="s">
        <v>64</v>
      </c>
      <c r="H30" s="13" t="s">
        <v>65</v>
      </c>
    </row>
    <row r="31">
      <c r="A31" s="64" t="str">
        <f>WhiteP5</f>
        <v>Marcus (W)</v>
      </c>
      <c r="B31" s="64" t="str">
        <f t="array" ref="B31">If(VLOOKUP(INDEX(MatchPlay1, Match(CONCATENATE("*", WhiteP5, "*"), MatchPlay1, false), 0),MatchPlay1_VL, 2, false) = 0, "TBD", if(VLOOKUP(INDEX(MatchPlay1, Match(CONCATENATE("*", WhiteP5, "*"), MatchPlay1, false), 0),MatchPlay1_VL, 3, false) = "halved", "halved", If(VLOOKUP(INDEX(MatchPlay1, Match(CONCATENATE("*", WhiteP5, "*"), MatchPlay1, false), 0),MatchPlay1_VL, 3, false) &lt;&gt; "AS", if(left(VLOOKUP(INDEX(MatchPlay1, Match(CONCATENATE("*", WhiteP5, "*"), MatchPlay1, false), 0),MatchPlay1_VL, 3, false), 1) = "a", "W", "L"), "TBD")))</f>
        <v>L</v>
      </c>
      <c r="C31" s="64" t="str">
        <f t="array" ref="C31">If(VLOOKUP(INDEX(MatchPlay2, Match(CONCATENATE("*", WhiteP5, "*"), MatchPlay2, false), 0),MatchPlay2_VL, 2, false) = 0, "TBD", if(VLOOKUP(INDEX(MatchPlay2, Match(CONCATENATE("*", WhiteP5, "*"), MatchPlay2, false), 0),MatchPlay2_VL, 3, false) = "halved", "halved", If(VLOOKUP(INDEX(MatchPlay2, Match(CONCATENATE("*", WhiteP5, "*"), MatchPlay2, false), 0),MatchPlay2_VL, 3, false) &lt;&gt; "AS", if(left(VLOOKUP(INDEX(MatchPlay2, Match(CONCATENATE("*", WhiteP5, "*"), MatchPlay2, false), 0),MatchPlay2_VL, 3, false), 1) = "a", "W", "L"), "TBD")))</f>
        <v>L</v>
      </c>
      <c r="D31" s="64" t="str">
        <f t="array" ref="D31">If(VLOOKUP(INDEX(MatchPlay3, Match(CONCATENATE("*", WhiteP5, "*"), MatchPlay3, false), 0),MatchPlay3_VL, 2, false) = 0, "TBD", if(VLOOKUP(INDEX(MatchPlay3, Match(CONCATENATE("*", WhiteP5, "*"), MatchPlay3, false), 0),MatchPlay3_VL, 3, false) = "halved", "halved", If(VLOOKUP(INDEX(MatchPlay3, Match(CONCATENATE("*", WhiteP5, "*"), MatchPlay3, false), 0),MatchPlay3_VL, 3, false) &lt;&gt; "AS", if(left(VLOOKUP(INDEX(MatchPlay3, Match(CONCATENATE("*", WhiteP5, "*"), MatchPlay3, false), 0),MatchPlay3_VL, 3, false), 1) = "a", "W", "L"), "TBD")))</f>
        <v>L</v>
      </c>
      <c r="E31" s="64">
        <f>SUM(IFS(B31="W", MPPointsW, B31="L", MPPointsL, B31="halved", MPPointsH, B31="TBD", "0"), IFS(C31="W", MPPointsW, C31="L", MPPointsL, C31="halved", MPPointsH, C31="TBD", "0"), IFS(D31="W", MPPointsW, D31="L", MPPointsL, D31="halved", MPPointsH, D31="TBD", "0"))</f>
        <v>0</v>
      </c>
      <c r="F31" s="64" t="str">
        <f>IFS(LARGE(MPFlight5Total, 1)=E31, 1, LARGE(MPFlight5Total, 2)=E31, 2, LARGE(MPFlight5Total, 3)=E31, 3, LARGE(MPFlight5Total, 4)=E31, 4)</f>
        <v>#N/A</v>
      </c>
      <c r="G31" s="68" t="str">
        <f>If(C31="TBD", 0, F31)</f>
        <v>#N/A</v>
      </c>
      <c r="H31" s="68" t="str">
        <f>If(C31="TBD", 0, VLOOKUP(G31,MatchPlayPoints_VL, 2, false))</f>
        <v>#N/A</v>
      </c>
    </row>
    <row r="32">
      <c r="A32" s="60" t="str">
        <f>BlackP5</f>
        <v>Andrew (A)</v>
      </c>
      <c r="B32" s="60" t="str">
        <f t="array" ref="B32">If(VLOOKUP(INDEX(MatchPlay1, Match(CONCATENATE("*", BlackP5, "*"), MatchPlay1, false), 0),MatchPlay1_VL, 2, false) = 0, "TBD", if(VLOOKUP(INDEX(MatchPlay1, Match(CONCATENATE("*", BlackP5, "*"), MatchPlay1, false), 0),MatchPlay1_VL, 3, false) = "halved", "halved", If(VLOOKUP(INDEX(MatchPlay1, Match(CONCATENATE("*", BlackP5, "*"), MatchPlay1, false), 0),MatchPlay1_VL, 3, false) &lt;&gt; "AS", if(left(VLOOKUP(INDEX(MatchPlay1, Match(CONCATENATE("*", BlackP5, "*"), MatchPlay1, false), 0),MatchPlay1_VL, 3, false), 1) = "a", "W", "L"), "TBD")))</f>
        <v>L</v>
      </c>
      <c r="C32" s="60" t="str">
        <f t="array" ref="C32">If(VLOOKUP(INDEX(MatchPlay2, Match(CONCATENATE("*", BlackP5, "*"), MatchPlay2, false), 0),MatchPlay2_VL, 2, false) = 0, "TBD", if(VLOOKUP(INDEX(MatchPlay2, Match(CONCATENATE("*", BlackP5, "*"), MatchPlay2, false), 0),MatchPlay2_VL, 3, false) = "halved", "halved", If(VLOOKUP(INDEX(MatchPlay2, Match(CONCATENATE("*", BlackP5, "*"), MatchPlay2, false), 0),MatchPlay2_VL, 3, false) &lt;&gt; "AS", if(left(VLOOKUP(INDEX(MatchPlay2, Match(CONCATENATE("*", BlackP5, "*"), MatchPlay2, false), 0),MatchPlay2_VL, 3, false), 1) = "b", "W", "L"), "TBD")))</f>
        <v>#N/A</v>
      </c>
      <c r="D32" s="60" t="str">
        <f t="array" ref="D32">If(VLOOKUP(INDEX(MatchPlay3, Match(CONCATENATE("*", BlackP5, "*"), MatchPlay3, false), 0),MatchPlay3_VL, 2, false) = 0, "TBD", if(VLOOKUP(INDEX(MatchPlay3, Match(CONCATENATE("*", BlackP5, "*"), MatchPlay3, false), 0),MatchPlay3_VL, 3, false) = "halved", "halved", If(VLOOKUP(INDEX(MatchPlay3, Match(CONCATENATE("*", BlackP5, "*"), MatchPlay3, false), 0),MatchPlay3_VL, 3, false) &lt;&gt; "AS", if(left(VLOOKUP(INDEX(MatchPlay3, Match(CONCATENATE("*", BlackP5, "*"), MatchPlay3, false), 0),MatchPlay3_VL, 3, false), 1) = "b", "W", "L"), "TBD")))</f>
        <v>#N/A</v>
      </c>
      <c r="E32" s="60" t="str">
        <f>SUM(IFS(B32="W", MPPointsW, B32="L", MPPointsL, B32="halved", MPPointsH, B32="TBD", "0"), IFS(C32="W", MPPointsW, C32="L", MPPointsL, C32="halved", MPPointsH, C32="TBD", "0"), IFS(D32="W", MPPointsW, D32="L", MPPointsL, D32="halved", MPPointsH, D32="TBD", "0"))</f>
        <v>#N/A</v>
      </c>
      <c r="F32" s="60" t="str">
        <f>IFS(LARGE(MPFlight5Total, 1)=E32, 1, LARGE(MPFlight5Total, 2)=E32, 2, LARGE(MPFlight5Total, 3)=E32, 3, LARGE(MPFlight5Total, 4)=E32, 4)</f>
        <v>#N/A</v>
      </c>
      <c r="G32" s="69">
        <v>3.0</v>
      </c>
      <c r="H32" s="68" t="str">
        <f>If(C32="TBD", 0, VLOOKUP(G32,MatchPlayPoints_VL, 2, false))</f>
        <v>#N/A</v>
      </c>
    </row>
    <row r="33">
      <c r="A33" s="62" t="str">
        <f>BlueP5</f>
        <v>Mikey (B)</v>
      </c>
      <c r="B33" s="62" t="str">
        <f t="array" ref="B33">If(VLOOKUP(INDEX(MatchPlay1, Match(CONCATENATE("*", BlueP5, "*"), MatchPlay1, false), 0),MatchPlay1_VL, 2, false) = 0, "TBD", if(VLOOKUP(INDEX(MatchPlay1, Match(CONCATENATE("*", BlueP5, "*"), MatchPlay1, false), 0),MatchPlay1_VL, 3, false) = "halved", "halved", If(VLOOKUP(INDEX(MatchPlay1, Match(CONCATENATE("*", BlueP5, "*"), MatchPlay1, false), 0),MatchPlay1_VL, 3, false) &lt;&gt; "AS", if(left(VLOOKUP(INDEX(MatchPlay1, Match(CONCATENATE("*", BlueP5, "*"), MatchPlay1, false), 0),MatchPlay1_VL, 3, false), 1) = "b", "W", "L"), "TBD")))</f>
        <v>#N/A</v>
      </c>
      <c r="C33" s="62" t="str">
        <f t="array" ref="C33">If(VLOOKUP(INDEX(MatchPlay2, Match(CONCATENATE("*", BlueP5, "*"), MatchPlay2, false), 0),MatchPlay2_VL, 2, false) = 0, "TBD", if(VLOOKUP(INDEX(MatchPlay2, Match(CONCATENATE("*", BlueP5, "*"), MatchPlay2, false), 0),MatchPlay2_VL, 3, false) = "halved", "halved", If(VLOOKUP(INDEX(MatchPlay2, Match(CONCATENATE("*", BlueP5, "*"), MatchPlay2, false), 0),MatchPlay2_VL, 3, false) &lt;&gt; "AS", if(left(VLOOKUP(INDEX(MatchPlay2, Match(CONCATENATE("*", BlueP5, "*"), MatchPlay2, false), 0),MatchPlay2_VL, 3, false), 1) = "b", "W", "L"), "TBD")))</f>
        <v>#N/A</v>
      </c>
      <c r="D33" s="62" t="str">
        <f t="array" ref="D33">If(VLOOKUP(INDEX(MatchPlay3, Match(CONCATENATE("*", BlueP5, "*"), MatchPlay3, false), 0),MatchPlay3_VL, 2, false) = 0, "TBD", if(VLOOKUP(INDEX(MatchPlay3, Match(CONCATENATE("*", BlueP5, "*"), MatchPlay3, false), 0),MatchPlay3_VL, 3, false) = "halved", "halved", If(VLOOKUP(INDEX(MatchPlay3, Match(CONCATENATE("*", BlueP5, "*"), MatchPlay3, false), 0),MatchPlay3_VL, 3, false) &lt;&gt; "AS", if(left(VLOOKUP(INDEX(MatchPlay3, Match(CONCATENATE("*", BlueP5, "*"), MatchPlay3, false), 0),MatchPlay3_VL, 3, false), 1) = "a", "W", "L"), "TBD")))</f>
        <v>L</v>
      </c>
      <c r="E33" s="62" t="str">
        <f>SUM(IFS(B33="W", MPPointsW, B33="L", MPPointsL, B33="halved", MPPointsH, B33="TBD", "0"), IFS(C33="W", MPPointsW, C33="L", MPPointsL, C33="halved", MPPointsH, C33="TBD", "0"), IFS(D33="W", MPPointsW, D33="L", MPPointsL, D33="halved", MPPointsH, D33="TBD", "0"))</f>
        <v>#N/A</v>
      </c>
      <c r="F33" s="62" t="str">
        <f>IFS(LARGE(MPFlight5Total, 1)=E33, 1, LARGE(MPFlight5Total, 2)=E33, 2, LARGE(MPFlight5Total, 3)=E33, 3, LARGE(MPFlight5Total, 4)=E33, 4)</f>
        <v>#N/A</v>
      </c>
      <c r="G33" s="68" t="str">
        <f t="shared" ref="G33:G34" si="3">If(C33="TBD", 0, F33)</f>
        <v>#N/A</v>
      </c>
      <c r="H33" s="68" t="str">
        <f>If(C33="TBD", 0, VLOOKUP(G33,MatchPlayPoints_VL, 2, false))</f>
        <v>#N/A</v>
      </c>
    </row>
    <row r="34">
      <c r="A34" s="70" t="str">
        <f>RedP5</f>
        <v>Powell (R)</v>
      </c>
      <c r="B34" s="70" t="str">
        <f t="array" ref="B34">If(VLOOKUP(INDEX(MatchPlay1, Match(CONCATENATE("*", RedP5, "*"), MatchPlay1, false), 0),MatchPlay1_VL, 2, false) = 0, "TBD", if(VLOOKUP(INDEX(MatchPlay1, Match(CONCATENATE("*", RedP5, "*"), MatchPlay1, false), 0),MatchPlay1_VL, 3, false) = "halved", "halved", If(VLOOKUP(INDEX(MatchPlay1, Match(CONCATENATE("*", RedP5, "*"), MatchPlay1, false), 0),MatchPlay1_VL, 3, false) &lt;&gt; "AS", if(left(VLOOKUP(INDEX(MatchPlay1, Match(CONCATENATE("*", RedP5, "*"), MatchPlay1, false), 0),MatchPlay1_VL, 3, false), 1) = "b", "W", "L"), "TBD")))</f>
        <v>#N/A</v>
      </c>
      <c r="C34" s="70" t="str">
        <f t="array" ref="C34">If(VLOOKUP(INDEX(MatchPlay2, Match(CONCATENATE("*", RedP5, "*"), MatchPlay2, false), 0),MatchPlay2_VL, 2, false) = 0, "TBD", if(VLOOKUP(INDEX(MatchPlay2, Match(CONCATENATE("*", RedP5, "*"), MatchPlay2, false), 0),MatchPlay2_VL, 3, false) = "halved", "halved", If(VLOOKUP(INDEX(MatchPlay2, Match(CONCATENATE("*", RedP5, "*"), MatchPlay2, false), 0),MatchPlay2_VL, 3, false) &lt;&gt; "AS", if(left(VLOOKUP(INDEX(MatchPlay2, Match(CONCATENATE("*", RedP5, "*"), MatchPlay2, false), 0),MatchPlay2_VL, 3, false), 1) = "a", "W", "L"), "TBD")))</f>
        <v>L</v>
      </c>
      <c r="D34" s="70" t="str">
        <f t="array" ref="D34">If(VLOOKUP(INDEX(MatchPlay3, Match(CONCATENATE("*", RedP5, "*"), MatchPlay3, false), 0),MatchPlay3_VL, 2, false) = 0, "TBD", if(VLOOKUP(INDEX(MatchPlay3, Match(CONCATENATE("*", RedP5, "*"), MatchPlay3, false), 0),MatchPlay3_VL, 3, false) = "halved", "halved", If(VLOOKUP(INDEX(MatchPlay3, Match(CONCATENATE("*", RedP5, "*"), MatchPlay3, false), 0),MatchPlay3_VL, 3, false) &lt;&gt; "AS", if(left(VLOOKUP(INDEX(MatchPlay3, Match(CONCATENATE("*", RedP5, "*"), MatchPlay3, false), 0),MatchPlay3_VL, 3, false), 1) = "b", "W", "L"), "TBD")))</f>
        <v>#N/A</v>
      </c>
      <c r="E34" s="70" t="str">
        <f>SUM(IFS(B34="W", MPPointsW, B34="L", MPPointsL, B34="halved", MPPointsH, B34="TBD", "0"), IFS(C34="W", MPPointsW, C34="L", MPPointsL, C34="halved", MPPointsH, C34="TBD", "0"), IFS(D34="W", MPPointsW, D34="L", MPPointsL, D34="halved", MPPointsH, D34="TBD", "0"))</f>
        <v>#N/A</v>
      </c>
      <c r="F34" s="70" t="str">
        <f>IFS(LARGE(MPFlight5Total, 1)=E34, 1, LARGE(MPFlight5Total, 2)=E34, 2, LARGE(MPFlight5Total, 3)=E34, 3, LARGE(MPFlight5Total, 4)=E34, 4)</f>
        <v>#N/A</v>
      </c>
      <c r="G34" s="68" t="str">
        <f t="shared" si="3"/>
        <v>#N/A</v>
      </c>
      <c r="H34" s="68" t="str">
        <f>If(C34="TBD", 0, VLOOKUP(G34,MatchPlayPoints_VL, 2, false))</f>
        <v>#N/A</v>
      </c>
    </row>
    <row r="36">
      <c r="A36" s="10" t="s">
        <v>70</v>
      </c>
      <c r="B36" s="16"/>
      <c r="C36" s="16"/>
      <c r="D36" s="16"/>
      <c r="E36" s="16"/>
      <c r="F36" s="16"/>
      <c r="G36" s="16"/>
      <c r="H36" s="11"/>
    </row>
    <row r="37">
      <c r="A37" s="13" t="s">
        <v>59</v>
      </c>
      <c r="B37" s="13" t="s">
        <v>60</v>
      </c>
      <c r="C37" s="13" t="s">
        <v>61</v>
      </c>
      <c r="D37" s="13" t="s">
        <v>62</v>
      </c>
      <c r="E37" s="13" t="s">
        <v>63</v>
      </c>
      <c r="F37" s="13" t="s">
        <v>64</v>
      </c>
      <c r="G37" s="13" t="s">
        <v>64</v>
      </c>
      <c r="H37" s="13" t="s">
        <v>65</v>
      </c>
    </row>
    <row r="38">
      <c r="A38" s="64" t="str">
        <f>WhiteP6</f>
        <v>Dave (W)</v>
      </c>
      <c r="B38" s="64" t="str">
        <f t="array" ref="B38">If(VLOOKUP(INDEX(MatchPlay1, Match(CONCATENATE("*", WhiteP6, "*"), MatchPlay1, false), 0),MatchPlay1_VL, 2, false) = 0, "TBD", if(VLOOKUP(INDEX(MatchPlay1, Match(CONCATENATE("*", WhiteP6, "*"), MatchPlay1, false), 0),MatchPlay1_VL, 3, false) = "halved", "halved", If(VLOOKUP(INDEX(MatchPlay1, Match(CONCATENATE("*", WhiteP6, "*"), MatchPlay1, false), 0),MatchPlay1_VL, 3, false) &lt;&gt; "AS", if(left(VLOOKUP(INDEX(MatchPlay1, Match(CONCATENATE("*", WhiteP6, "*"), MatchPlay1, false), 0),MatchPlay1_VL, 3, false), 1) = "a", "W", "L"), "TBD")))</f>
        <v>L</v>
      </c>
      <c r="C38" s="64" t="str">
        <f t="array" ref="C38">If(VLOOKUP(INDEX(MatchPlay2, Match(CONCATENATE("*", WhiteP6, "*"), MatchPlay2, false), 0),MatchPlay2_VL, 2, false) = 0, "TBD", if(VLOOKUP(INDEX(MatchPlay2, Match(CONCATENATE("*", WhiteP6, "*"), MatchPlay2, false), 0),MatchPlay2_VL, 3, false) = "halved", "halved", If(VLOOKUP(INDEX(MatchPlay2, Match(CONCATENATE("*", WhiteP6, "*"), MatchPlay2, false), 0),MatchPlay2_VL, 3, false) &lt;&gt; "AS", if(left(VLOOKUP(INDEX(MatchPlay2, Match(CONCATENATE("*", WhiteP6, "*"), MatchPlay2, false), 0),MatchPlay2_VL, 3, false), 1) = "a", "W", "L"), "TBD")))</f>
        <v>L</v>
      </c>
      <c r="D38" s="64" t="str">
        <f t="array" ref="D38">If(VLOOKUP(INDEX(MatchPlay3, Match(CONCATENATE("*", WhiteP6, "*"), MatchPlay3, false), 0),MatchPlay3_VL, 2, false) = 0, "TBD", if(VLOOKUP(INDEX(MatchPlay3, Match(CONCATENATE("*", WhiteP6, "*"), MatchPlay3, false), 0),MatchPlay3_VL, 3, false) = "halved", "halved", If(VLOOKUP(INDEX(MatchPlay3, Match(CONCATENATE("*", WhiteP6, "*"), MatchPlay3, false), 0),MatchPlay3_VL, 3, false) &lt;&gt; "AS", if(left(VLOOKUP(INDEX(MatchPlay3, Match(CONCATENATE("*", WhiteP6, "*"), MatchPlay3, false), 0),MatchPlay3_VL, 3, false), 1) = "a", "W", "L"), "TBD")))</f>
        <v>L</v>
      </c>
      <c r="E38" s="64">
        <f>SUM(IFS(B38="W", MPPointsW, B38="L", MPPointsL, B38="halved", MPPointsH, B38="TBD", "0"), IFS(C38="W", MPPointsW, C38="L", MPPointsL, C38="halved", MPPointsH, C38="TBD", "0"), IFS(D38="W", MPPointsW, D38="L", MPPointsL, D38="halved", MPPointsH, D38="TBD", "0"))</f>
        <v>0</v>
      </c>
      <c r="F38" s="64" t="str">
        <f>IFS(LARGE(MPFlight6Total, 1)=E38, 1, LARGE(MPFlight6Total, 2)=E38, 2, LARGE(MPFlight6Total, 3)=E38, 3, LARGE(MPFlight6Total, 4)=E38, 4)</f>
        <v>#N/A</v>
      </c>
      <c r="G38" s="68" t="str">
        <f t="shared" ref="G38:G39" si="4">If(C38="TBD", 0, F38)</f>
        <v>#N/A</v>
      </c>
      <c r="H38" s="68" t="str">
        <f>If(C38="TBD", 0, VLOOKUP(G38,MatchPlayPoints_VL, 2, false))</f>
        <v>#N/A</v>
      </c>
    </row>
    <row r="39">
      <c r="A39" s="60" t="str">
        <f>BlackP6</f>
        <v>Neil (A)</v>
      </c>
      <c r="B39" s="60" t="str">
        <f t="array" ref="B39">If(VLOOKUP(INDEX(MatchPlay1, Match(CONCATENATE("*", BlackP6, "*"), MatchPlay1, false), 0),MatchPlay1_VL, 2, false) = 0, "TBD", if(VLOOKUP(INDEX(MatchPlay1, Match(CONCATENATE("*", BlackP6, "*"), MatchPlay1, false), 0),MatchPlay1_VL, 3, false) = "halved", "halved", If(VLOOKUP(INDEX(MatchPlay1, Match(CONCATENATE("*", BlackP6, "*"), MatchPlay1, false), 0),MatchPlay1_VL, 3, false) &lt;&gt; "AS", if(left(VLOOKUP(INDEX(MatchPlay1, Match(CONCATENATE("*", BlackP6, "*"), MatchPlay1, false), 0),MatchPlay1_VL, 3, false), 1) = "b", "W", "L"), "TBD")))</f>
        <v>#N/A</v>
      </c>
      <c r="C39" s="60" t="str">
        <f t="array" ref="C39">If(VLOOKUP(INDEX(MatchPlay2, Match(CONCATENATE("*", BlackP6, "*"), MatchPlay2, false), 0),MatchPlay2_VL, 2, false) = 0, "TBD", if(VLOOKUP(INDEX(MatchPlay2, Match(CONCATENATE("*", BlackP6, "*"), MatchPlay2, false), 0),MatchPlay2_VL, 3, false) = "halved", "halved", If(VLOOKUP(INDEX(MatchPlay2, Match(CONCATENATE("*", BlackP6, "*"), MatchPlay2, false), 0),MatchPlay2_VL, 3, false) &lt;&gt; "AS", if(left(VLOOKUP(INDEX(MatchPlay2, Match(CONCATENATE("*", BlackP6, "*"), MatchPlay2, false), 0),MatchPlay2_VL, 3, false), 1) = "b", "W", "L"), "TBD")))</f>
        <v>#N/A</v>
      </c>
      <c r="D39" s="60" t="str">
        <f t="array" ref="D39">If(VLOOKUP(INDEX(MatchPlay3, Match(CONCATENATE("*", BlackP6, "*"), MatchPlay3, false), 0),MatchPlay3_VL, 2, false) = 0, "TBD", if(VLOOKUP(INDEX(MatchPlay3, Match(CONCATENATE("*", BlackP6, "*"), MatchPlay3, false), 0),MatchPlay3_VL, 3, false) = "halved", "halved", If(VLOOKUP(INDEX(MatchPlay3, Match(CONCATENATE("*", BlackP6, "*"), MatchPlay3, false), 0),MatchPlay3_VL, 3, false) &lt;&gt; "AS", if(left(VLOOKUP(INDEX(MatchPlay3, Match(CONCATENATE("*", BlackP6, "*"), MatchPlay3, false), 0),MatchPlay3_VL, 3, false), 1) = "a", "W", "L"), "TBD")))</f>
        <v>L</v>
      </c>
      <c r="E39" s="60" t="str">
        <f>SUM(IFS(B39="W", MPPointsW, B39="L", MPPointsL, B39="halved", MPPointsH, B39="TBD", "0"), IFS(C39="W", MPPointsW, C39="L", MPPointsL, C39="halved", MPPointsH, C39="TBD", "0"), IFS(D39="W", MPPointsW, D39="L", MPPointsL, D39="halved", MPPointsH, D39="TBD", "0"))</f>
        <v>#N/A</v>
      </c>
      <c r="F39" s="60" t="str">
        <f>IFS(LARGE(MPFlight6Total, 1)=E39, 1, LARGE(MPFlight6Total, 2)=E39, 2, LARGE(MPFlight6Total, 3)=E39, 3, LARGE(MPFlight6Total, 4)=E39, 4)</f>
        <v>#N/A</v>
      </c>
      <c r="G39" s="68" t="str">
        <f t="shared" si="4"/>
        <v>#N/A</v>
      </c>
      <c r="H39" s="68" t="str">
        <f>If(C39="TBD", 0, VLOOKUP(G39,MatchPlayPoints_VL, 2, false))</f>
        <v>#N/A</v>
      </c>
    </row>
    <row r="40">
      <c r="A40" s="62" t="str">
        <f>BlueP6</f>
        <v>Matt (B)</v>
      </c>
      <c r="B40" s="62" t="str">
        <f t="array" ref="B40">If(VLOOKUP(INDEX(MatchPlay1, Match(CONCATENATE("*", BlueP6, "*"), MatchPlay1, false), 0),MatchPlay1_VL, 2, false) = 0, "TBD", if(VLOOKUP(INDEX(MatchPlay1, Match(CONCATENATE("*", BlueP6, "*"), MatchPlay1, false), 0),MatchPlay1_VL, 3, false) = "halved", "halved", If(VLOOKUP(INDEX(MatchPlay1, Match(CONCATENATE("*", BlueP6, "*"), MatchPlay1, false), 0),MatchPlay1_VL, 3, false) &lt;&gt; "AS", if(left(VLOOKUP(INDEX(MatchPlay1, Match(CONCATENATE("*", BlueP6, "*"), MatchPlay1, false), 0),MatchPlay1_VL, 3, false), 1) = "b", "W", "L"), "TBD")))</f>
        <v>#N/A</v>
      </c>
      <c r="C40" s="62" t="str">
        <f t="array" ref="C40">If(VLOOKUP(INDEX(MatchPlay2, Match(CONCATENATE("*", BlueP6, "*"), MatchPlay2, false), 0),MatchPlay2_VL, 2, false) = 0, "TBD", if(VLOOKUP(INDEX(MatchPlay2, Match(CONCATENATE("*", BlueP6, "*"), MatchPlay2, false), 0),MatchPlay2_VL, 3, false) = "halved", "halved", If(VLOOKUP(INDEX(MatchPlay2, Match(CONCATENATE("*", BlueP6, "*"), MatchPlay2, false), 0),MatchPlay2_VL, 3, false) &lt;&gt; "AS", if(left(VLOOKUP(INDEX(MatchPlay2, Match(CONCATENATE("*", BlueP6, "*"), MatchPlay2, false), 0),MatchPlay2_VL, 3, false), 1) = "a", "W", "L"), "TBD")))</f>
        <v>L</v>
      </c>
      <c r="D40" s="62" t="str">
        <f t="array" ref="D40">If(VLOOKUP(INDEX(MatchPlay3, Match(CONCATENATE("*", BlueP6, "*"), MatchPlay3, false), 0),MatchPlay3_VL, 2, false) = 0, "TBD", if(VLOOKUP(INDEX(MatchPlay3, Match(CONCATENATE("*", BlueP6, "*"), MatchPlay3, false), 0),MatchPlay3_VL, 3, false) = "halved", "halved", If(VLOOKUP(INDEX(MatchPlay3, Match(CONCATENATE("*", BlueP6, "*"), MatchPlay3, false), 0),MatchPlay3_VL, 3, false) &lt;&gt; "AS", if(left(VLOOKUP(INDEX(MatchPlay3, Match(CONCATENATE("*", BlueP6, "*"), MatchPlay3, false), 0),MatchPlay3_VL, 3, false), 1) = "b", "W", "L"), "TBD")))</f>
        <v>#N/A</v>
      </c>
      <c r="E40" s="62" t="str">
        <f>SUM(IFS(B40="W", MPPointsW, B40="L", MPPointsL, B40="halved", MPPointsH, B40="TBD", "0"), IFS(C40="W", MPPointsW, C40="L", MPPointsL, C40="halved", MPPointsH, C40="TBD", "0"), IFS(D40="W", MPPointsW, D40="L", MPPointsL, D40="halved", MPPointsH, D40="TBD", "0"))</f>
        <v>#N/A</v>
      </c>
      <c r="F40" s="62" t="str">
        <f>IFS(LARGE(MPFlight6Total, 1)=E40, 1, LARGE(MPFlight6Total, 2)=E40, 2, LARGE(MPFlight6Total, 3)=E40, 3, LARGE(MPFlight6Total, 4)=E40, 4)</f>
        <v>#N/A</v>
      </c>
      <c r="G40" s="69">
        <v>2.0</v>
      </c>
      <c r="H40" s="68">
        <f>If(C40="TBD", 0, VLOOKUP(G40,MatchPlayPoints_VL, 2, false))</f>
        <v>1</v>
      </c>
    </row>
    <row r="41">
      <c r="A41" s="70" t="str">
        <f>RedP6</f>
        <v>Beeler (R)</v>
      </c>
      <c r="B41" s="70" t="str">
        <f t="array" ref="B41">If(VLOOKUP(INDEX(MatchPlay1, Match(CONCATENATE("*", RedP6, "*"), MatchPlay1, false), 0),MatchPlay1_VL, 2, false) = 0, "TBD", if(VLOOKUP(INDEX(MatchPlay1, Match(CONCATENATE("*", RedP6, "*"), MatchPlay1, false), 0),MatchPlay1_VL, 3, false) = "halved", "halved", If(VLOOKUP(INDEX(MatchPlay1, Match(CONCATENATE("*", RedP6, "*"), MatchPlay1, false), 0),MatchPlay1_VL, 3, false) &lt;&gt; "AS", if(left(VLOOKUP(INDEX(MatchPlay1, Match(CONCATENATE("*", RedP6, "*"), MatchPlay1, false), 0),MatchPlay1_VL, 3, false), 1) = "a", "W", "L"), "TBD")))</f>
        <v>L</v>
      </c>
      <c r="C41" s="70" t="str">
        <f t="array" ref="C41">If(VLOOKUP(INDEX(MatchPlay2, Match(CONCATENATE("*", RedP6, "*"), MatchPlay2, false), 0),MatchPlay2_VL, 2, false) = 0, "TBD", if(VLOOKUP(INDEX(MatchPlay2, Match(CONCATENATE("*", RedP6, "*"), MatchPlay2, false), 0),MatchPlay2_VL, 3, false) = "halved", "halved", If(VLOOKUP(INDEX(MatchPlay2, Match(CONCATENATE("*", RedP6, "*"), MatchPlay2, false), 0),MatchPlay2_VL, 3, false) &lt;&gt; "AS", if(left(VLOOKUP(INDEX(MatchPlay2, Match(CONCATENATE("*", RedP6, "*"), MatchPlay2, false), 0),MatchPlay2_VL, 3, false), 1) = "b", "W", "L"), "TBD")))</f>
        <v>#N/A</v>
      </c>
      <c r="D41" s="70" t="str">
        <f t="array" ref="D41">If(VLOOKUP(INDEX(MatchPlay3, Match(CONCATENATE("*", RedP6, "*"), MatchPlay3, false), 0),MatchPlay3_VL, 2, false) = 0, "TBD", if(VLOOKUP(INDEX(MatchPlay3, Match(CONCATENATE("*", RedP6, "*"), MatchPlay3, false), 0),MatchPlay3_VL, 3, false) = "halved", "halved", If(VLOOKUP(INDEX(MatchPlay3, Match(CONCATENATE("*", RedP6, "*"), MatchPlay3, false), 0),MatchPlay3_VL, 3, false) &lt;&gt; "AS", if(left(VLOOKUP(INDEX(MatchPlay3, Match(CONCATENATE("*", RedP6, "*"), MatchPlay3, false), 0),MatchPlay3_VL, 3, false), 1) = "b", "W", "L"), "TBD")))</f>
        <v>#N/A</v>
      </c>
      <c r="E41" s="70" t="str">
        <f>SUM(IFS(B41="W", MPPointsW, B41="L", MPPointsL, B41="halved", MPPointsH, B41="TBD", "0"), IFS(C41="W", MPPointsW, C41="L", MPPointsL, C41="halved", MPPointsH, C41="TBD", "0"), IFS(D41="W", MPPointsW, D41="L", MPPointsL, D41="halved", MPPointsH, D41="TBD", "0"))</f>
        <v>#N/A</v>
      </c>
      <c r="F41" s="70" t="str">
        <f>IFS(LARGE(MPFlight6Total, 1)=E41, 1, LARGE(MPFlight6Total, 2)=E41, 2, LARGE(MPFlight6Total, 3)=E41, 3, LARGE(MPFlight6Total, 4)=E41, 4)</f>
        <v>#N/A</v>
      </c>
      <c r="G41" s="68" t="str">
        <f>If(C41="TBD", 0, F41)</f>
        <v>#N/A</v>
      </c>
      <c r="H41" s="68" t="str">
        <f>If(C41="TBD", 0, VLOOKUP(G41,MatchPlayPoints_VL, 2, false))</f>
        <v>#N/A</v>
      </c>
    </row>
    <row r="43">
      <c r="A43" s="58" t="s">
        <v>56</v>
      </c>
    </row>
    <row r="44">
      <c r="A44" s="59" t="s">
        <v>57</v>
      </c>
      <c r="D44" s="59" t="s">
        <v>42</v>
      </c>
    </row>
    <row r="45">
      <c r="A45" s="60" t="s">
        <v>48</v>
      </c>
      <c r="D45" s="61" t="str">
        <f t="shared" ref="D45:D47" si="5">SUM(H4, H11, H18, H25, H32, H39)</f>
        <v>#N/A</v>
      </c>
    </row>
    <row r="46">
      <c r="A46" s="62" t="s">
        <v>55</v>
      </c>
      <c r="D46" s="61" t="str">
        <f t="shared" si="5"/>
        <v>#N/A</v>
      </c>
    </row>
    <row r="47">
      <c r="A47" s="63" t="s">
        <v>51</v>
      </c>
      <c r="D47" s="61" t="str">
        <f t="shared" si="5"/>
        <v>#N/A</v>
      </c>
    </row>
    <row r="48">
      <c r="A48" s="64" t="s">
        <v>52</v>
      </c>
      <c r="D48" s="65" t="str">
        <f>SUM(H3, H10, H17, H24, H31, H38)</f>
        <v>#N/A</v>
      </c>
    </row>
    <row r="49">
      <c r="A49" s="66"/>
      <c r="D49" s="67" t="str">
        <f>SUM(D45:D48)</f>
        <v>#N/A</v>
      </c>
    </row>
  </sheetData>
  <mergeCells count="12">
    <mergeCell ref="A44:C44"/>
    <mergeCell ref="A45:C45"/>
    <mergeCell ref="A46:C46"/>
    <mergeCell ref="A47:C47"/>
    <mergeCell ref="A48:C48"/>
    <mergeCell ref="A1:H1"/>
    <mergeCell ref="A8:H8"/>
    <mergeCell ref="A15:H15"/>
    <mergeCell ref="A22:H22"/>
    <mergeCell ref="A29:H29"/>
    <mergeCell ref="A36:H36"/>
    <mergeCell ref="A43:C4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25"/>
    <col customWidth="1" hidden="1" min="4" max="4" width="35.0"/>
    <col hidden="1" min="5" max="6" width="12.63"/>
  </cols>
  <sheetData>
    <row r="1">
      <c r="A1" s="71" t="s">
        <v>71</v>
      </c>
      <c r="B1" s="72" t="s">
        <v>72</v>
      </c>
      <c r="C1" s="72" t="s">
        <v>42</v>
      </c>
      <c r="D1" s="66"/>
      <c r="E1" s="66" t="s">
        <v>72</v>
      </c>
      <c r="F1" s="66" t="s">
        <v>42</v>
      </c>
    </row>
    <row r="2">
      <c r="A2" s="60" t="str">
        <f t="array" ref="A2:C13">Sort(D2:F13,2,true)</f>
        <v>Team 1 (Riley (R), Troy (R))</v>
      </c>
      <c r="B2" s="61">
        <v>0.0</v>
      </c>
      <c r="C2" s="61">
        <v>0.0</v>
      </c>
      <c r="D2" s="73" t="s">
        <v>73</v>
      </c>
      <c r="E2" s="74">
        <f t="array" ref="E2">If(Substitute(Index(BestBallLeaderboard, Match(D2,BestBall, 0)), "T", "") = "-", "-", Value(Substitute(Index(BestBallLeaderboard, Match(D2,BestBall, 0)), "T", "")))</f>
        <v>0</v>
      </c>
      <c r="F2" s="61">
        <f>iferror(vlookup(E2, BestBallPoints_VL, 2, false), 0)</f>
        <v>0</v>
      </c>
    </row>
    <row r="3">
      <c r="A3" s="64" t="s">
        <v>74</v>
      </c>
      <c r="B3" s="61">
        <v>0.0</v>
      </c>
      <c r="C3" s="61">
        <v>0.0</v>
      </c>
      <c r="D3" s="73" t="s">
        <v>74</v>
      </c>
      <c r="E3" s="74">
        <f t="array" ref="E3">If(Substitute(Index(BestBallLeaderboard, Match(D3,BestBall, 0)), "T", "") = "-", "-", Value(Substitute(Index(BestBallLeaderboard, Match(D3,BestBall, 0)), "T", "")))</f>
        <v>0</v>
      </c>
      <c r="F3" s="61">
        <f>iferror(vlookup(E3, BestBallPoints_VL, 2, false), 0)</f>
        <v>0</v>
      </c>
    </row>
    <row r="4">
      <c r="A4" s="60" t="s">
        <v>75</v>
      </c>
      <c r="B4" s="61">
        <v>0.0</v>
      </c>
      <c r="C4" s="61">
        <v>0.0</v>
      </c>
      <c r="D4" s="73" t="s">
        <v>75</v>
      </c>
      <c r="E4" s="74">
        <f t="array" ref="E4">If(Substitute(Index(BestBallLeaderboard, Match(D4,BestBall, 0)), "T", "") = "-", "-", Value(Substitute(Index(BestBallLeaderboard, Match(D4,BestBall, 0)), "T", "")))</f>
        <v>0</v>
      </c>
      <c r="F4" s="61">
        <f>iferror(vlookup(E4, BestBallPoints_VL, 2, false), 0)</f>
        <v>0</v>
      </c>
    </row>
    <row r="5">
      <c r="A5" s="75" t="s">
        <v>76</v>
      </c>
      <c r="B5" s="61">
        <v>0.0</v>
      </c>
      <c r="C5" s="61">
        <v>0.0</v>
      </c>
      <c r="D5" s="73" t="s">
        <v>76</v>
      </c>
      <c r="E5" s="74">
        <f t="array" ref="E5">If(Substitute(Index(BestBallLeaderboard, Match(D5,BestBall, 0)), "T", "") = "-", "-", Value(Substitute(Index(BestBallLeaderboard, Match(D5,BestBall, 0)), "T", "")))</f>
        <v>0</v>
      </c>
      <c r="F5" s="61">
        <f>iferror(vlookup(E5, BestBallPoints_VL, 2, false), 0)</f>
        <v>0</v>
      </c>
    </row>
    <row r="6">
      <c r="A6" s="62" t="s">
        <v>77</v>
      </c>
      <c r="B6" s="61">
        <v>0.0</v>
      </c>
      <c r="C6" s="76">
        <v>0.0</v>
      </c>
      <c r="D6" s="73" t="s">
        <v>77</v>
      </c>
      <c r="E6" s="74">
        <f t="array" ref="E6">If(Substitute(Index(BestBallLeaderboard, Match(D6,BestBall, 0)), "T", "") = "-", "-", Value(Substitute(Index(BestBallLeaderboard, Match(D6,BestBall, 0)), "T", "")))</f>
        <v>0</v>
      </c>
      <c r="F6" s="61">
        <f>iferror(vlookup(E6, BestBallPoints_VL, 2, false), 0)</f>
        <v>0</v>
      </c>
    </row>
    <row r="7">
      <c r="A7" s="64" t="s">
        <v>78</v>
      </c>
      <c r="B7" s="61">
        <v>0.0</v>
      </c>
      <c r="C7" s="76">
        <v>0.0</v>
      </c>
      <c r="D7" s="73" t="s">
        <v>78</v>
      </c>
      <c r="E7" s="74">
        <f t="array" ref="E7">If(Substitute(Index(BestBallLeaderboard, Match(D7,BestBall, 0)), "T", "") = "-", "-", Value(Substitute(Index(BestBallLeaderboard, Match(D7,BestBall, 0)), "T", "")))</f>
        <v>0</v>
      </c>
      <c r="F7" s="61">
        <f>iferror(vlookup(E7, BestBallPoints_VL, 2, false), 0)</f>
        <v>0</v>
      </c>
    </row>
    <row r="8">
      <c r="A8" s="62" t="s">
        <v>79</v>
      </c>
      <c r="B8" s="61">
        <v>0.0</v>
      </c>
      <c r="C8" s="61">
        <v>0.0</v>
      </c>
      <c r="D8" s="73" t="s">
        <v>79</v>
      </c>
      <c r="E8" s="74">
        <f t="array" ref="E8">If(Substitute(Index(BestBallLeaderboard, Match(D8,BestBall, 0)), "T", "") = "-", "-", Value(Substitute(Index(BestBallLeaderboard, Match(D8,BestBall, 0)), "T", "")))</f>
        <v>0</v>
      </c>
      <c r="F8" s="61">
        <f>iferror(vlookup(E8, BestBallPoints_VL, 2, false), 0)</f>
        <v>0</v>
      </c>
    </row>
    <row r="9">
      <c r="A9" s="75" t="s">
        <v>80</v>
      </c>
      <c r="B9" s="61">
        <v>0.0</v>
      </c>
      <c r="C9" s="61">
        <v>0.0</v>
      </c>
      <c r="D9" s="73" t="s">
        <v>80</v>
      </c>
      <c r="E9" s="74">
        <f t="array" ref="E9">If(Substitute(Index(BestBallLeaderboard, Match(D9,BestBall, 0)), "T", "") = "-", "-", Value(Substitute(Index(BestBallLeaderboard, Match(D9,BestBall, 0)), "T", "")))</f>
        <v>0</v>
      </c>
      <c r="F9" s="61">
        <f>iferror(vlookup(E9, BestBallPoints_VL, 2, false), 0)</f>
        <v>0</v>
      </c>
    </row>
    <row r="10">
      <c r="A10" s="66" t="s">
        <v>81</v>
      </c>
      <c r="B10" s="77">
        <v>0.0</v>
      </c>
      <c r="C10" s="66">
        <v>0.0</v>
      </c>
      <c r="D10" s="73" t="s">
        <v>81</v>
      </c>
      <c r="E10" s="74">
        <f t="array" ref="E10">If(Substitute(Index(BestBallLeaderboard, Match(D10,BestBall, 0)), "T", "") = "-", "-", Value(Substitute(Index(BestBallLeaderboard, Match(D10,BestBall, 0)), "T", "")))</f>
        <v>0</v>
      </c>
      <c r="F10" s="61">
        <f>iferror(vlookup(E10, BestBallPoints_VL, 2, false), 0)</f>
        <v>0</v>
      </c>
    </row>
    <row r="11">
      <c r="A11" s="66" t="s">
        <v>82</v>
      </c>
      <c r="B11" s="77">
        <v>0.0</v>
      </c>
      <c r="C11" s="66">
        <v>0.0</v>
      </c>
      <c r="D11" s="73" t="s">
        <v>82</v>
      </c>
      <c r="E11" s="74">
        <f t="array" ref="E11">If(Substitute(Index(BestBallLeaderboard, Match(D11,BestBall, 0)), "T", "") = "-", "-", Value(Substitute(Index(BestBallLeaderboard, Match(D11,BestBall, 0)), "T", "")))</f>
        <v>0</v>
      </c>
      <c r="F11" s="61">
        <f>iferror(vlookup(E11, BestBallPoints_VL, 2, false), 0)</f>
        <v>0</v>
      </c>
    </row>
    <row r="12">
      <c r="A12" s="73" t="s">
        <v>83</v>
      </c>
      <c r="B12" s="77">
        <v>0.0</v>
      </c>
      <c r="C12" s="66">
        <v>0.0</v>
      </c>
      <c r="D12" s="73" t="s">
        <v>83</v>
      </c>
      <c r="E12" s="74">
        <f t="array" ref="E12">If(Substitute(Index(BestBallLeaderboard, Match(D12,BestBall, 0)), "T", "") = "-", "-", Value(Substitute(Index(BestBallLeaderboard, Match(D12,BestBall, 0)), "T", "")))</f>
        <v>0</v>
      </c>
      <c r="F12" s="61">
        <f>iferror(vlookup(E12, BestBallPoints_VL, 2, false), 0)</f>
        <v>0</v>
      </c>
    </row>
    <row r="13">
      <c r="A13" s="73" t="s">
        <v>84</v>
      </c>
      <c r="B13" s="77">
        <v>0.0</v>
      </c>
      <c r="C13" s="66">
        <v>0.0</v>
      </c>
      <c r="D13" s="73" t="s">
        <v>84</v>
      </c>
      <c r="E13" s="74">
        <f t="array" ref="E13">If(Substitute(Index(BestBallLeaderboard, Match(D13,BestBall, 0)), "T", "") = "-", "-", Value(Substitute(Index(BestBallLeaderboard, Match(D13,BestBall, 0)), "T", "")))</f>
        <v>0</v>
      </c>
      <c r="F13" s="61">
        <f>iferror(vlookup(E13, BestBallPoints_VL, 2, false), 0)</f>
        <v>0</v>
      </c>
    </row>
    <row r="14">
      <c r="B14" s="61"/>
      <c r="C14" s="66"/>
      <c r="D14" s="66"/>
      <c r="E14" s="66"/>
      <c r="F14" s="66"/>
    </row>
    <row r="15">
      <c r="A15" s="58" t="s">
        <v>56</v>
      </c>
      <c r="C15" s="66"/>
      <c r="D15" s="66"/>
      <c r="E15" s="66"/>
      <c r="F15" s="66"/>
    </row>
    <row r="16">
      <c r="A16" s="59" t="s">
        <v>57</v>
      </c>
      <c r="B16" s="59" t="s">
        <v>42</v>
      </c>
      <c r="C16" s="66"/>
      <c r="D16" s="66"/>
      <c r="E16" s="74"/>
      <c r="F16" s="66"/>
    </row>
    <row r="17">
      <c r="A17" s="60" t="s">
        <v>48</v>
      </c>
      <c r="B17" s="61">
        <f>SUM(F3:F4, F9)</f>
        <v>0</v>
      </c>
      <c r="C17" s="66"/>
      <c r="D17" s="66"/>
      <c r="E17" s="66"/>
      <c r="F17" s="66"/>
    </row>
    <row r="18">
      <c r="A18" s="62" t="s">
        <v>55</v>
      </c>
      <c r="B18" s="61">
        <f>SUM(F5,F10,F12)</f>
        <v>0</v>
      </c>
      <c r="C18" s="66"/>
      <c r="D18" s="66"/>
      <c r="E18" s="66"/>
      <c r="F18" s="66"/>
    </row>
    <row r="19">
      <c r="A19" s="63" t="s">
        <v>51</v>
      </c>
      <c r="B19" s="61">
        <f>SUM(F2,F7,F13)</f>
        <v>0</v>
      </c>
    </row>
    <row r="20">
      <c r="A20" s="64" t="s">
        <v>52</v>
      </c>
      <c r="B20" s="65">
        <f>SUM(F6,F8,F11)</f>
        <v>0</v>
      </c>
    </row>
    <row r="21">
      <c r="A21" s="66"/>
      <c r="B21" s="67">
        <f>SUM(B17:B20)</f>
        <v>0</v>
      </c>
    </row>
  </sheetData>
  <mergeCells count="1">
    <mergeCell ref="A15:B15"/>
  </mergeCells>
  <conditionalFormatting sqref="A2:A13 D2:D13">
    <cfRule type="containsText" dxfId="1" priority="1" operator="containsText" text="(W)">
      <formula>NOT(ISERROR(SEARCH(("(W)"),(A2))))</formula>
    </cfRule>
  </conditionalFormatting>
  <conditionalFormatting sqref="A2:A13 D2:D13">
    <cfRule type="containsText" dxfId="2" priority="2" operator="containsText" text="(B)">
      <formula>NOT(ISERROR(SEARCH(("(B)"),(A2))))</formula>
    </cfRule>
  </conditionalFormatting>
  <conditionalFormatting sqref="A2:A13 D2:D13">
    <cfRule type="containsText" dxfId="3" priority="3" operator="containsText" text="(R)">
      <formula>NOT(ISERROR(SEARCH(("(R)"),(A2))))</formula>
    </cfRule>
  </conditionalFormatting>
  <conditionalFormatting sqref="A2:A13 D2:D13">
    <cfRule type="containsText" dxfId="4" priority="4" operator="containsText" text="(A)">
      <formula>NOT(ISERROR(SEARCH(("(A)"),(A2))))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38"/>
    <col customWidth="1" min="4" max="4" width="36.0"/>
  </cols>
  <sheetData>
    <row r="1">
      <c r="A1" s="72" t="s">
        <v>85</v>
      </c>
      <c r="B1" s="72" t="s">
        <v>72</v>
      </c>
      <c r="C1" s="72" t="s">
        <v>42</v>
      </c>
      <c r="D1" s="66"/>
      <c r="E1" s="66" t="s">
        <v>72</v>
      </c>
      <c r="F1" s="66" t="s">
        <v>42</v>
      </c>
      <c r="G1" s="66"/>
      <c r="H1" s="66"/>
      <c r="I1" s="66"/>
      <c r="J1" s="66"/>
      <c r="K1" s="66"/>
    </row>
    <row r="2">
      <c r="A2" s="60" t="str">
        <f t="array" ref="A2:C9">Sort(D2:F9,2,true)</f>
        <v>Adam/ Chad/ Marcus/Dave (W)</v>
      </c>
      <c r="B2" s="61">
        <v>0.0</v>
      </c>
      <c r="C2" s="61">
        <v>0.0</v>
      </c>
      <c r="D2" s="63" t="s">
        <v>86</v>
      </c>
      <c r="E2" s="74">
        <f t="array" ref="E2">If(Substitute(Index(ScrambleLeaderboard, Match(D2,Scramble, 0)), "T", "") = "-", "-", Value(Substitute(Index(ScrambleLeaderboard, Match(D2,Scramble, 0)), "T", "")))</f>
        <v>0</v>
      </c>
      <c r="F2" s="61">
        <f>iferror(vlookup(E2, ScramblePoints_VL, 2, false), 0)</f>
        <v>0</v>
      </c>
      <c r="G2" s="66"/>
      <c r="H2" s="66"/>
      <c r="I2" s="66"/>
      <c r="J2" s="66"/>
      <c r="K2" s="66"/>
    </row>
    <row r="3">
      <c r="A3" s="64" t="s">
        <v>87</v>
      </c>
      <c r="B3" s="61">
        <v>0.0</v>
      </c>
      <c r="C3" s="61">
        <v>0.0</v>
      </c>
      <c r="D3" s="63" t="s">
        <v>87</v>
      </c>
      <c r="E3" s="74">
        <f t="array" ref="E3">If(Substitute(Index(ScrambleLeaderboard, Match(D3,Scramble, 0)), "T", "") = "-", "-", Value(Substitute(Index(ScrambleLeaderboard, Match(D3,Scramble, 0)), "T", "")))</f>
        <v>0</v>
      </c>
      <c r="F3" s="61">
        <f>iferror(vlookup(E3, ScramblePoints_VL, 2, false), 0)</f>
        <v>0</v>
      </c>
      <c r="G3" s="66"/>
      <c r="H3" s="66"/>
      <c r="I3" s="66"/>
      <c r="J3" s="66"/>
      <c r="K3" s="66"/>
    </row>
    <row r="4">
      <c r="A4" s="60" t="s">
        <v>88</v>
      </c>
      <c r="B4" s="61">
        <v>0.0</v>
      </c>
      <c r="C4" s="61">
        <v>0.0</v>
      </c>
      <c r="D4" s="78" t="s">
        <v>88</v>
      </c>
      <c r="E4" s="74">
        <f t="array" ref="E4">If(Substitute(Index(ScrambleLeaderboard, Match(D4,Scramble, 0)), "T", "") = "-", "-", Value(Substitute(Index(ScrambleLeaderboard, Match(D4,Scramble, 0)), "T", "")))</f>
        <v>0</v>
      </c>
      <c r="F4" s="61">
        <f>iferror(vlookup(E4, ScramblePoints_VL, 2, false), 0)</f>
        <v>0</v>
      </c>
      <c r="G4" s="66"/>
      <c r="H4" s="66"/>
      <c r="I4" s="66"/>
      <c r="J4" s="66"/>
      <c r="K4" s="66"/>
    </row>
    <row r="5">
      <c r="A5" s="75" t="s">
        <v>89</v>
      </c>
      <c r="B5" s="61">
        <v>0.0</v>
      </c>
      <c r="C5" s="61">
        <v>0.0</v>
      </c>
      <c r="D5" s="79" t="s">
        <v>89</v>
      </c>
      <c r="E5" s="74">
        <f t="array" ref="E5">If(Substitute(Index(ScrambleLeaderboard, Match(D5,Scramble, 0)), "T", "") = "-", "-", Value(Substitute(Index(ScrambleLeaderboard, Match(D5,Scramble, 0)), "T", "")))</f>
        <v>0</v>
      </c>
      <c r="F5" s="61">
        <f>iferror(vlookup(E5, ScramblePoints_VL, 2, false), 0)</f>
        <v>0</v>
      </c>
      <c r="G5" s="66"/>
      <c r="H5" s="66"/>
      <c r="I5" s="66"/>
      <c r="J5" s="66"/>
      <c r="K5" s="66"/>
    </row>
    <row r="6">
      <c r="A6" s="62" t="s">
        <v>90</v>
      </c>
      <c r="B6" s="61">
        <v>0.0</v>
      </c>
      <c r="C6" s="76">
        <v>0.0</v>
      </c>
      <c r="D6" s="80" t="s">
        <v>90</v>
      </c>
      <c r="E6" s="74">
        <f t="array" ref="E6">If(Substitute(Index(ScrambleLeaderboard, Match(D6,Scramble, 0)), "T", "") = "-", "-", Value(Substitute(Index(ScrambleLeaderboard, Match(D6,Scramble, 0)), "T", "")))</f>
        <v>0</v>
      </c>
      <c r="F6" s="61">
        <f>iferror(vlookup(E6, ScramblePoints_VL, 2, false), 0)</f>
        <v>0</v>
      </c>
      <c r="G6" s="66"/>
      <c r="H6" s="66"/>
      <c r="I6" s="66"/>
      <c r="J6" s="66"/>
      <c r="K6" s="66"/>
    </row>
    <row r="7">
      <c r="A7" s="64" t="s">
        <v>91</v>
      </c>
      <c r="B7" s="61">
        <v>0.0</v>
      </c>
      <c r="C7" s="76">
        <v>0.0</v>
      </c>
      <c r="D7" s="80" t="s">
        <v>91</v>
      </c>
      <c r="E7" s="74">
        <f t="array" ref="E7">If(Substitute(Index(ScrambleLeaderboard, Match(D7,Scramble, 0)), "T", "") = "-", "-", Value(Substitute(Index(ScrambleLeaderboard, Match(D7,Scramble, 0)), "T", "")))</f>
        <v>0</v>
      </c>
      <c r="F7" s="61">
        <f>iferror(vlookup(E7, ScramblePoints_VL, 2, false), 0)</f>
        <v>0</v>
      </c>
      <c r="G7" s="66"/>
      <c r="H7" s="66"/>
      <c r="I7" s="66"/>
      <c r="J7" s="66"/>
      <c r="K7" s="66"/>
    </row>
    <row r="8">
      <c r="A8" s="62" t="s">
        <v>92</v>
      </c>
      <c r="B8" s="61">
        <v>0.0</v>
      </c>
      <c r="C8" s="61">
        <v>0.0</v>
      </c>
      <c r="D8" s="81" t="s">
        <v>92</v>
      </c>
      <c r="E8" s="74">
        <f t="array" ref="E8">If(Substitute(Index(ScrambleLeaderboard, Match(D8,Scramble, 0)), "T", "") = "-", "-", Value(Substitute(Index(ScrambleLeaderboard, Match(D8,Scramble, 0)), "T", "")))</f>
        <v>0</v>
      </c>
      <c r="F8" s="61">
        <f>iferror(vlookup(E8, ScramblePoints_VL, 2, false), 0)</f>
        <v>0</v>
      </c>
      <c r="G8" s="66"/>
      <c r="H8" s="66"/>
      <c r="I8" s="66"/>
      <c r="J8" s="66"/>
      <c r="K8" s="66"/>
    </row>
    <row r="9">
      <c r="A9" s="75" t="s">
        <v>93</v>
      </c>
      <c r="B9" s="61">
        <v>0.0</v>
      </c>
      <c r="C9" s="61">
        <v>0.0</v>
      </c>
      <c r="D9" s="60" t="s">
        <v>93</v>
      </c>
      <c r="E9" s="74">
        <f t="array" ref="E9">If(Substitute(Index(ScrambleLeaderboard, Match(D9,Scramble, 0)), "T", "") = "-", "-", Value(Substitute(Index(ScrambleLeaderboard, Match(D9,Scramble, 0)), "T", "")))</f>
        <v>0</v>
      </c>
      <c r="F9" s="61">
        <f>iferror(vlookup(E9, ScramblePoints_VL, 2, false), 0)</f>
        <v>0</v>
      </c>
      <c r="G9" s="66"/>
      <c r="H9" s="66"/>
      <c r="I9" s="66"/>
      <c r="J9" s="66"/>
      <c r="K9" s="66"/>
    </row>
    <row r="10">
      <c r="A10" s="66"/>
      <c r="B10" s="66"/>
      <c r="C10" s="66"/>
      <c r="D10" s="66"/>
      <c r="E10" s="66"/>
      <c r="F10" s="61"/>
      <c r="G10" s="66"/>
      <c r="H10" s="66"/>
      <c r="I10" s="66"/>
      <c r="J10" s="66"/>
      <c r="K10" s="66"/>
    </row>
    <row r="1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</row>
    <row r="12">
      <c r="A12" s="58" t="s">
        <v>56</v>
      </c>
      <c r="C12" s="66"/>
      <c r="D12" s="66"/>
      <c r="E12" s="66"/>
      <c r="F12" s="66"/>
      <c r="G12" s="66"/>
      <c r="H12" s="66"/>
      <c r="I12" s="66"/>
      <c r="J12" s="66"/>
      <c r="K12" s="66"/>
    </row>
    <row r="13">
      <c r="A13" s="59" t="s">
        <v>57</v>
      </c>
      <c r="B13" s="59" t="s">
        <v>42</v>
      </c>
      <c r="C13" s="66"/>
      <c r="D13" s="66"/>
      <c r="E13" s="66"/>
      <c r="F13" s="66"/>
      <c r="G13" s="66"/>
      <c r="H13" s="66"/>
      <c r="I13" s="66"/>
      <c r="J13" s="66"/>
      <c r="K13" s="66"/>
    </row>
    <row r="14">
      <c r="A14" s="60" t="s">
        <v>48</v>
      </c>
      <c r="B14" s="61">
        <f>SUM(F5, F3)</f>
        <v>0</v>
      </c>
      <c r="C14" s="66"/>
      <c r="D14" s="66"/>
      <c r="E14" s="66"/>
      <c r="F14" s="66"/>
      <c r="G14" s="66"/>
      <c r="H14" s="66"/>
      <c r="I14" s="66"/>
      <c r="J14" s="66"/>
      <c r="K14" s="66"/>
    </row>
    <row r="15">
      <c r="A15" s="62" t="s">
        <v>55</v>
      </c>
      <c r="B15" s="61">
        <f>SUM(F4, F9)</f>
        <v>0</v>
      </c>
      <c r="C15" s="66"/>
      <c r="D15" s="66"/>
      <c r="E15" s="66"/>
      <c r="F15" s="66"/>
      <c r="G15" s="66"/>
      <c r="H15" s="66"/>
      <c r="I15" s="66"/>
      <c r="J15" s="66"/>
      <c r="K15" s="66"/>
    </row>
    <row r="16">
      <c r="A16" s="63" t="s">
        <v>51</v>
      </c>
      <c r="B16" s="61">
        <f>SUM(F7, F8)</f>
        <v>0</v>
      </c>
      <c r="C16" s="66"/>
      <c r="D16" s="66"/>
      <c r="E16" s="74"/>
      <c r="F16" s="66"/>
      <c r="G16" s="66"/>
      <c r="H16" s="66"/>
      <c r="I16" s="66"/>
      <c r="J16" s="66"/>
      <c r="K16" s="66"/>
    </row>
    <row r="17">
      <c r="A17" s="64" t="s">
        <v>52</v>
      </c>
      <c r="B17" s="65">
        <f>SUM(F6, F7)</f>
        <v>0</v>
      </c>
      <c r="C17" s="66"/>
      <c r="D17" s="66"/>
      <c r="E17" s="66"/>
      <c r="F17" s="66"/>
      <c r="G17" s="66"/>
      <c r="H17" s="66"/>
      <c r="I17" s="66"/>
      <c r="J17" s="66"/>
      <c r="K17" s="66"/>
    </row>
    <row r="18">
      <c r="A18" s="66"/>
      <c r="B18" s="67">
        <f>SUM(B14:B17)</f>
        <v>0</v>
      </c>
      <c r="C18" s="66"/>
      <c r="D18" s="66"/>
      <c r="E18" s="66"/>
      <c r="F18" s="66"/>
      <c r="G18" s="66"/>
      <c r="H18" s="66"/>
      <c r="I18" s="66"/>
      <c r="J18" s="66"/>
      <c r="K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</row>
    <row r="20">
      <c r="G20" s="66"/>
      <c r="H20" s="66"/>
      <c r="I20" s="66"/>
      <c r="J20" s="66"/>
      <c r="K20" s="66"/>
    </row>
    <row r="21">
      <c r="A21" s="66" t="s">
        <v>92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</row>
    <row r="22">
      <c r="A22" s="82" t="s">
        <v>86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</row>
    <row r="23">
      <c r="A23" s="83" t="s">
        <v>91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</row>
    <row r="24">
      <c r="A24" s="84" t="s">
        <v>88</v>
      </c>
    </row>
    <row r="25">
      <c r="A25" s="66" t="s">
        <v>90</v>
      </c>
    </row>
    <row r="26">
      <c r="A26" s="66" t="s">
        <v>87</v>
      </c>
    </row>
    <row r="27">
      <c r="A27" s="84" t="s">
        <v>93</v>
      </c>
    </row>
    <row r="28">
      <c r="A28" s="66" t="s">
        <v>89</v>
      </c>
    </row>
  </sheetData>
  <mergeCells count="1">
    <mergeCell ref="A12:B12"/>
  </mergeCells>
  <conditionalFormatting sqref="A2:A9">
    <cfRule type="containsText" dxfId="1" priority="1" operator="containsText" text="(W)">
      <formula>NOT(ISERROR(SEARCH(("(W)"),(A2))))</formula>
    </cfRule>
  </conditionalFormatting>
  <conditionalFormatting sqref="A2:A9">
    <cfRule type="containsText" dxfId="2" priority="2" operator="containsText" text="(B)">
      <formula>NOT(ISERROR(SEARCH(("(B)"),(A2))))</formula>
    </cfRule>
  </conditionalFormatting>
  <conditionalFormatting sqref="A2:A9">
    <cfRule type="containsText" dxfId="3" priority="3" operator="containsText" text="(R)">
      <formula>NOT(ISERROR(SEARCH(("(R)"),(A2))))</formula>
    </cfRule>
  </conditionalFormatting>
  <conditionalFormatting sqref="A2:A9">
    <cfRule type="containsText" dxfId="4" priority="4" operator="containsText" text="(A)">
      <formula>NOT(ISERROR(SEARCH(("(A)"),(A2))))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4.0"/>
    <col customWidth="1" min="3" max="3" width="11.0"/>
    <col customWidth="1" min="4" max="4" width="3.88"/>
    <col customWidth="1" min="5" max="5" width="2.0"/>
    <col customWidth="1" min="6" max="6" width="7.63"/>
    <col customWidth="1" min="7" max="7" width="9.38"/>
    <col customWidth="1" min="8" max="8" width="1.75"/>
    <col customWidth="1" min="9" max="9" width="9.25"/>
    <col customWidth="1" min="10" max="10" width="2.88"/>
    <col customWidth="1" min="11" max="11" width="10.75"/>
    <col customWidth="1" min="12" max="12" width="1.75"/>
    <col customWidth="1" min="13" max="13" width="10.75"/>
    <col customWidth="1" min="14" max="14" width="2.13"/>
    <col customWidth="1" min="15" max="15" width="3.88"/>
    <col customWidth="1" min="16" max="16" width="9.38"/>
    <col customWidth="1" min="17" max="17" width="1.75"/>
    <col customWidth="1" min="18" max="18" width="8.5"/>
    <col customWidth="1" min="19" max="19" width="2.88"/>
    <col customWidth="1" min="20" max="20" width="9.25"/>
    <col customWidth="1" min="21" max="21" width="1.75"/>
    <col customWidth="1" min="22" max="22" width="10.75"/>
    <col customWidth="1" min="23" max="23" width="2.0"/>
    <col customWidth="1" min="24" max="24" width="3.13"/>
    <col customWidth="1" min="25" max="25" width="9.38"/>
    <col customWidth="1" min="26" max="26" width="1.75"/>
    <col customWidth="1" min="27" max="27" width="10.75"/>
    <col customWidth="1" min="28" max="28" width="3.0"/>
    <col customWidth="1" min="29" max="29" width="8.5"/>
    <col customWidth="1" min="30" max="30" width="1.75"/>
    <col customWidth="1" min="31" max="31" width="9.25"/>
    <col customWidth="1" min="32" max="32" width="5.88"/>
    <col customWidth="1" min="33" max="40" width="7.63"/>
  </cols>
  <sheetData>
    <row r="1">
      <c r="P1" s="85"/>
    </row>
    <row r="2">
      <c r="P2" s="85"/>
    </row>
    <row r="3">
      <c r="B3" s="86" t="s">
        <v>94</v>
      </c>
      <c r="C3" s="87"/>
      <c r="D3" s="17" t="s">
        <v>95</v>
      </c>
      <c r="F3" s="88" t="s">
        <v>96</v>
      </c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J3" s="89" t="s">
        <v>97</v>
      </c>
    </row>
    <row r="4">
      <c r="B4" s="62" t="s">
        <v>98</v>
      </c>
      <c r="C4" s="62" t="s">
        <v>99</v>
      </c>
      <c r="AH4" s="73" t="s">
        <v>100</v>
      </c>
      <c r="AJ4" s="73" t="s">
        <v>101</v>
      </c>
      <c r="AK4" s="73">
        <v>1.0</v>
      </c>
      <c r="AL4" s="73" t="s">
        <v>102</v>
      </c>
      <c r="AM4" s="73" t="s">
        <v>103</v>
      </c>
      <c r="AN4" s="73" t="s">
        <v>104</v>
      </c>
    </row>
    <row r="5">
      <c r="B5" s="62" t="s">
        <v>105</v>
      </c>
      <c r="C5" s="62" t="s">
        <v>106</v>
      </c>
      <c r="AH5" s="73" t="s">
        <v>107</v>
      </c>
      <c r="AJ5" s="73" t="s">
        <v>103</v>
      </c>
      <c r="AK5" s="73">
        <v>2.0</v>
      </c>
      <c r="AL5" s="73" t="s">
        <v>104</v>
      </c>
      <c r="AM5" s="73" t="s">
        <v>101</v>
      </c>
      <c r="AN5" s="73" t="s">
        <v>102</v>
      </c>
    </row>
    <row r="6">
      <c r="B6" s="62" t="s">
        <v>108</v>
      </c>
      <c r="C6" s="62" t="s">
        <v>109</v>
      </c>
      <c r="AH6" s="73" t="s">
        <v>110</v>
      </c>
      <c r="AJ6" s="73" t="s">
        <v>104</v>
      </c>
      <c r="AK6" s="73">
        <v>3.0</v>
      </c>
      <c r="AL6" s="73" t="s">
        <v>103</v>
      </c>
      <c r="AM6" s="73" t="s">
        <v>102</v>
      </c>
      <c r="AN6" s="73" t="s">
        <v>101</v>
      </c>
    </row>
    <row r="7">
      <c r="B7" s="62" t="s">
        <v>111</v>
      </c>
      <c r="C7" s="62" t="s">
        <v>112</v>
      </c>
      <c r="AH7" s="73" t="s">
        <v>113</v>
      </c>
      <c r="AJ7" s="73" t="s">
        <v>102</v>
      </c>
      <c r="AK7" s="73">
        <v>4.0</v>
      </c>
      <c r="AL7" s="73" t="s">
        <v>101</v>
      </c>
      <c r="AM7" s="73" t="s">
        <v>104</v>
      </c>
      <c r="AN7" s="73" t="s">
        <v>103</v>
      </c>
    </row>
    <row r="8">
      <c r="B8" s="62" t="s">
        <v>114</v>
      </c>
      <c r="C8" s="62" t="s">
        <v>115</v>
      </c>
    </row>
    <row r="9">
      <c r="B9" s="62" t="s">
        <v>116</v>
      </c>
      <c r="C9" s="62" t="s">
        <v>117</v>
      </c>
    </row>
    <row r="11">
      <c r="B11" s="60" t="s">
        <v>118</v>
      </c>
      <c r="C11" s="60" t="s">
        <v>119</v>
      </c>
      <c r="AI11" s="90" t="s">
        <v>120</v>
      </c>
    </row>
    <row r="12">
      <c r="B12" s="60" t="s">
        <v>121</v>
      </c>
      <c r="C12" s="81" t="s">
        <v>122</v>
      </c>
      <c r="AH12" s="73">
        <v>1.0</v>
      </c>
      <c r="AI12" s="73" t="s">
        <v>101</v>
      </c>
      <c r="AJ12" s="73" t="s">
        <v>123</v>
      </c>
    </row>
    <row r="13">
      <c r="B13" s="60" t="s">
        <v>124</v>
      </c>
      <c r="C13" s="81" t="s">
        <v>125</v>
      </c>
      <c r="F13" s="88" t="s">
        <v>126</v>
      </c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H13" s="73">
        <v>2.0</v>
      </c>
      <c r="AI13" s="73" t="s">
        <v>103</v>
      </c>
      <c r="AJ13" s="73" t="s">
        <v>127</v>
      </c>
    </row>
    <row r="14">
      <c r="B14" s="60" t="s">
        <v>128</v>
      </c>
      <c r="C14" s="81" t="s">
        <v>129</v>
      </c>
      <c r="F14" s="91"/>
      <c r="G14" s="92" t="s">
        <v>130</v>
      </c>
      <c r="H14" s="93"/>
      <c r="I14" s="93"/>
      <c r="J14" s="93"/>
      <c r="K14" s="93"/>
      <c r="L14" s="93"/>
      <c r="M14" s="93"/>
      <c r="N14" s="91"/>
      <c r="O14" s="91"/>
      <c r="P14" s="92" t="s">
        <v>131</v>
      </c>
      <c r="Q14" s="93"/>
      <c r="R14" s="93"/>
      <c r="S14" s="93"/>
      <c r="T14" s="93"/>
      <c r="U14" s="93"/>
      <c r="V14" s="93"/>
      <c r="W14" s="91"/>
      <c r="X14" s="91"/>
      <c r="Y14" s="92" t="s">
        <v>132</v>
      </c>
      <c r="Z14" s="93"/>
      <c r="AA14" s="93"/>
      <c r="AB14" s="93"/>
      <c r="AC14" s="93"/>
      <c r="AD14" s="93"/>
      <c r="AE14" s="93"/>
      <c r="AH14" s="73">
        <v>3.0</v>
      </c>
      <c r="AI14" s="73" t="s">
        <v>104</v>
      </c>
      <c r="AJ14" s="73" t="s">
        <v>133</v>
      </c>
    </row>
    <row r="15">
      <c r="B15" s="60" t="s">
        <v>134</v>
      </c>
      <c r="C15" s="81" t="s">
        <v>135</v>
      </c>
      <c r="F15" s="94"/>
      <c r="G15" s="64" t="str">
        <f>'Schedule New'!WhiteP1</f>
        <v>Rob (W)</v>
      </c>
      <c r="H15" s="73" t="s">
        <v>49</v>
      </c>
      <c r="I15" s="60" t="str">
        <f>'Schedule New'!BlackP1</f>
        <v>Mitch (A)</v>
      </c>
      <c r="K15" s="62" t="str">
        <f>'Schedule New'!BlueP1</f>
        <v>Troy (B)</v>
      </c>
      <c r="L15" s="73" t="s">
        <v>49</v>
      </c>
      <c r="M15" s="70" t="str">
        <f>'Schedule New'!RedP1</f>
        <v>Eric (R)</v>
      </c>
      <c r="N15" s="95"/>
      <c r="O15" s="94"/>
      <c r="P15" s="64" t="str">
        <f>C4</f>
        <v>Rob (W)</v>
      </c>
      <c r="Q15" s="73" t="s">
        <v>49</v>
      </c>
      <c r="R15" s="70" t="str">
        <f>M15</f>
        <v>Eric (R)</v>
      </c>
      <c r="T15" s="60" t="str">
        <f>C11</f>
        <v>Mitch (A)</v>
      </c>
      <c r="U15" s="73" t="s">
        <v>49</v>
      </c>
      <c r="V15" s="62" t="str">
        <f>K15</f>
        <v>Troy (B)</v>
      </c>
      <c r="W15" s="95"/>
      <c r="X15" s="96"/>
      <c r="Y15" s="64" t="str">
        <f>P15</f>
        <v>Rob (W)</v>
      </c>
      <c r="Z15" s="73" t="s">
        <v>49</v>
      </c>
      <c r="AA15" s="62" t="str">
        <f>V15</f>
        <v>Troy (B)</v>
      </c>
      <c r="AC15" s="70" t="str">
        <f>R15</f>
        <v>Eric (R)</v>
      </c>
      <c r="AD15" s="73" t="s">
        <v>49</v>
      </c>
      <c r="AE15" s="60" t="str">
        <f>T15</f>
        <v>Mitch (A)</v>
      </c>
      <c r="AH15" s="73">
        <v>4.0</v>
      </c>
      <c r="AI15" s="73" t="s">
        <v>102</v>
      </c>
      <c r="AJ15" s="73" t="s">
        <v>136</v>
      </c>
    </row>
    <row r="16">
      <c r="B16" s="60" t="s">
        <v>137</v>
      </c>
      <c r="C16" s="81" t="s">
        <v>138</v>
      </c>
      <c r="F16" s="94"/>
      <c r="G16" s="64"/>
      <c r="N16" s="95"/>
      <c r="O16" s="94"/>
      <c r="P16" s="64"/>
      <c r="W16" s="95"/>
      <c r="X16" s="96"/>
      <c r="Y16" s="64"/>
      <c r="AH16" s="73">
        <v>5.0</v>
      </c>
      <c r="AI16" s="73" t="s">
        <v>102</v>
      </c>
      <c r="AJ16" s="73" t="s">
        <v>139</v>
      </c>
    </row>
    <row r="17">
      <c r="F17" s="94"/>
      <c r="G17" s="64"/>
      <c r="N17" s="95"/>
      <c r="O17" s="94"/>
      <c r="P17" s="64"/>
      <c r="W17" s="95"/>
      <c r="X17" s="96"/>
      <c r="Y17" s="64"/>
      <c r="AH17" s="73">
        <v>6.0</v>
      </c>
      <c r="AI17" s="73" t="s">
        <v>104</v>
      </c>
      <c r="AJ17" s="73" t="s">
        <v>140</v>
      </c>
    </row>
    <row r="18">
      <c r="B18" s="97" t="s">
        <v>141</v>
      </c>
      <c r="C18" s="97" t="s">
        <v>142</v>
      </c>
      <c r="F18" s="94"/>
      <c r="G18" s="64" t="str">
        <f>'Schedule New'!WhiteP2</f>
        <v>Dutch (W)</v>
      </c>
      <c r="H18" s="73" t="s">
        <v>49</v>
      </c>
      <c r="I18" s="70" t="str">
        <f>'Schedule New'!RedP2</f>
        <v>Andy (R)</v>
      </c>
      <c r="K18" s="60" t="str">
        <f>'Schedule New'!BlackP2</f>
        <v>Miller (A)</v>
      </c>
      <c r="L18" s="73" t="s">
        <v>49</v>
      </c>
      <c r="M18" s="62" t="str">
        <f>'Schedule New'!BlueP2</f>
        <v>Rocky (B)</v>
      </c>
      <c r="N18" s="98"/>
      <c r="O18" s="94"/>
      <c r="P18" s="64" t="str">
        <f>G18</f>
        <v>Dutch (W)</v>
      </c>
      <c r="Q18" s="73" t="s">
        <v>49</v>
      </c>
      <c r="R18" s="62" t="str">
        <f>M18</f>
        <v>Rocky (B)</v>
      </c>
      <c r="T18" s="70" t="str">
        <f>I18</f>
        <v>Andy (R)</v>
      </c>
      <c r="U18" s="73" t="s">
        <v>49</v>
      </c>
      <c r="V18" s="60" t="str">
        <f>K18</f>
        <v>Miller (A)</v>
      </c>
      <c r="W18" s="98"/>
      <c r="X18" s="96"/>
      <c r="Y18" s="64" t="str">
        <f>P18</f>
        <v>Dutch (W)</v>
      </c>
      <c r="Z18" s="73" t="s">
        <v>49</v>
      </c>
      <c r="AA18" s="60" t="str">
        <f>V18</f>
        <v>Miller (A)</v>
      </c>
      <c r="AC18" s="62" t="str">
        <f>R18</f>
        <v>Rocky (B)</v>
      </c>
      <c r="AD18" s="73" t="s">
        <v>49</v>
      </c>
      <c r="AE18" s="70" t="str">
        <f>T18</f>
        <v>Andy (R)</v>
      </c>
      <c r="AH18" s="73">
        <v>7.0</v>
      </c>
      <c r="AI18" s="73" t="s">
        <v>103</v>
      </c>
      <c r="AJ18" s="73" t="s">
        <v>143</v>
      </c>
    </row>
    <row r="19">
      <c r="B19" s="97" t="s">
        <v>144</v>
      </c>
      <c r="C19" s="97" t="s">
        <v>145</v>
      </c>
      <c r="F19" s="94"/>
      <c r="G19" s="64"/>
      <c r="N19" s="98"/>
      <c r="O19" s="94"/>
      <c r="P19" s="64"/>
      <c r="W19" s="98"/>
      <c r="X19" s="96"/>
      <c r="Y19" s="64"/>
      <c r="AH19" s="73">
        <v>8.0</v>
      </c>
      <c r="AI19" s="73" t="s">
        <v>101</v>
      </c>
      <c r="AJ19" s="73" t="s">
        <v>146</v>
      </c>
    </row>
    <row r="20">
      <c r="B20" s="97" t="s">
        <v>147</v>
      </c>
      <c r="C20" s="97" t="s">
        <v>148</v>
      </c>
      <c r="F20" s="94"/>
      <c r="G20" s="64"/>
      <c r="N20" s="98"/>
      <c r="O20" s="94"/>
      <c r="P20" s="64"/>
      <c r="W20" s="98"/>
      <c r="X20" s="96"/>
      <c r="Y20" s="64"/>
      <c r="AH20" s="73">
        <v>9.0</v>
      </c>
      <c r="AI20" s="73" t="s">
        <v>101</v>
      </c>
      <c r="AJ20" s="73" t="s">
        <v>149</v>
      </c>
    </row>
    <row r="21">
      <c r="B21" s="97" t="s">
        <v>150</v>
      </c>
      <c r="C21" s="99" t="s">
        <v>151</v>
      </c>
      <c r="F21" s="100"/>
      <c r="G21" s="64" t="str">
        <f>'Schedule New'!WhiteP3</f>
        <v>Tyler (W)</v>
      </c>
      <c r="H21" s="73" t="s">
        <v>49</v>
      </c>
      <c r="I21" s="62" t="str">
        <f>'Schedule New'!BlueP3</f>
        <v>Matt B (B)</v>
      </c>
      <c r="K21" s="70" t="str">
        <f>'Schedule New'!RedP3</f>
        <v>Joe (R)</v>
      </c>
      <c r="L21" s="73" t="s">
        <v>49</v>
      </c>
      <c r="M21" s="60" t="str">
        <f>'Schedule New'!BlackP3</f>
        <v>Ryan (A)</v>
      </c>
      <c r="O21" s="94"/>
      <c r="P21" s="64" t="str">
        <f>G21</f>
        <v>Tyler (W)</v>
      </c>
      <c r="Q21" s="73" t="s">
        <v>49</v>
      </c>
      <c r="R21" s="60" t="str">
        <f>M21</f>
        <v>Ryan (A)</v>
      </c>
      <c r="T21" s="62" t="str">
        <f>I21</f>
        <v>Matt B (B)</v>
      </c>
      <c r="U21" s="73" t="s">
        <v>49</v>
      </c>
      <c r="V21" s="70" t="str">
        <f>K21</f>
        <v>Joe (R)</v>
      </c>
      <c r="X21" s="96"/>
      <c r="Y21" s="64" t="str">
        <f>P21</f>
        <v>Tyler (W)</v>
      </c>
      <c r="Z21" s="73" t="s">
        <v>49</v>
      </c>
      <c r="AA21" s="70" t="str">
        <f>V21</f>
        <v>Joe (R)</v>
      </c>
      <c r="AC21" s="60" t="str">
        <f>R21</f>
        <v>Ryan (A)</v>
      </c>
      <c r="AD21" s="73" t="s">
        <v>49</v>
      </c>
      <c r="AE21" s="62" t="str">
        <f>T21</f>
        <v>Matt B (B)</v>
      </c>
      <c r="AH21" s="73">
        <v>10.0</v>
      </c>
      <c r="AI21" s="73" t="s">
        <v>103</v>
      </c>
      <c r="AJ21" s="73" t="s">
        <v>152</v>
      </c>
    </row>
    <row r="22">
      <c r="B22" s="97" t="s">
        <v>153</v>
      </c>
      <c r="C22" s="99" t="s">
        <v>154</v>
      </c>
      <c r="G22" s="64"/>
      <c r="O22" s="94"/>
      <c r="P22" s="64"/>
      <c r="X22" s="96"/>
      <c r="Y22" s="64"/>
      <c r="AH22" s="73">
        <v>11.0</v>
      </c>
      <c r="AI22" s="73" t="s">
        <v>104</v>
      </c>
      <c r="AJ22" s="73" t="s">
        <v>155</v>
      </c>
    </row>
    <row r="23">
      <c r="B23" s="97" t="s">
        <v>156</v>
      </c>
      <c r="C23" s="97" t="s">
        <v>157</v>
      </c>
      <c r="G23" s="64"/>
      <c r="O23" s="94"/>
      <c r="P23" s="64"/>
      <c r="X23" s="96"/>
      <c r="Y23" s="64"/>
      <c r="AH23" s="73">
        <v>12.0</v>
      </c>
      <c r="AI23" s="73" t="s">
        <v>102</v>
      </c>
      <c r="AJ23" s="73" t="s">
        <v>158</v>
      </c>
    </row>
    <row r="24">
      <c r="G24" s="64" t="str">
        <f>'Schedule New'!WhiteP4</f>
        <v>Will (W)</v>
      </c>
      <c r="H24" s="73" t="s">
        <v>49</v>
      </c>
      <c r="I24" s="60" t="str">
        <f>'Schedule New'!BlackP4</f>
        <v>Adam (A)</v>
      </c>
      <c r="K24" s="62" t="str">
        <f>'Schedule New'!BlueP4</f>
        <v>Kelly (B)</v>
      </c>
      <c r="L24" s="73" t="s">
        <v>49</v>
      </c>
      <c r="M24" s="70" t="str">
        <f>'Schedule New'!RedP4</f>
        <v>JP (R)</v>
      </c>
      <c r="N24" s="95"/>
      <c r="O24" s="94"/>
      <c r="P24" s="64" t="str">
        <f>G24</f>
        <v>Will (W)</v>
      </c>
      <c r="Q24" s="73" t="s">
        <v>49</v>
      </c>
      <c r="R24" s="70" t="str">
        <f>M24</f>
        <v>JP (R)</v>
      </c>
      <c r="T24" s="60" t="str">
        <f>I24</f>
        <v>Adam (A)</v>
      </c>
      <c r="U24" s="73" t="s">
        <v>49</v>
      </c>
      <c r="V24" s="62" t="str">
        <f>K24</f>
        <v>Kelly (B)</v>
      </c>
      <c r="W24" s="95"/>
      <c r="X24" s="96"/>
      <c r="Y24" s="64" t="str">
        <f>P24</f>
        <v>Will (W)</v>
      </c>
      <c r="Z24" s="73" t="s">
        <v>49</v>
      </c>
      <c r="AA24" s="62" t="str">
        <f>V24</f>
        <v>Kelly (B)</v>
      </c>
      <c r="AC24" s="70" t="str">
        <f>R24</f>
        <v>JP (R)</v>
      </c>
      <c r="AD24" s="73" t="s">
        <v>49</v>
      </c>
      <c r="AE24" s="60" t="str">
        <f>T24</f>
        <v>Adam (A)</v>
      </c>
      <c r="AH24" s="73">
        <v>13.0</v>
      </c>
      <c r="AI24" s="73" t="s">
        <v>102</v>
      </c>
      <c r="AJ24" s="73" t="s">
        <v>159</v>
      </c>
    </row>
    <row r="25">
      <c r="B25" s="101" t="s">
        <v>160</v>
      </c>
      <c r="C25" s="101" t="s">
        <v>161</v>
      </c>
      <c r="G25" s="64"/>
      <c r="N25" s="95"/>
      <c r="O25" s="94"/>
      <c r="P25" s="64"/>
      <c r="W25" s="95"/>
      <c r="X25" s="96"/>
      <c r="Y25" s="64"/>
      <c r="AH25" s="73">
        <v>14.0</v>
      </c>
      <c r="AI25" s="73" t="s">
        <v>104</v>
      </c>
      <c r="AJ25" s="73" t="s">
        <v>162</v>
      </c>
    </row>
    <row r="26">
      <c r="B26" s="101" t="s">
        <v>163</v>
      </c>
      <c r="C26" s="101" t="s">
        <v>164</v>
      </c>
      <c r="G26" s="64"/>
      <c r="N26" s="95"/>
      <c r="O26" s="94"/>
      <c r="P26" s="64"/>
      <c r="W26" s="95"/>
      <c r="X26" s="96"/>
      <c r="Y26" s="64"/>
      <c r="AH26" s="73">
        <v>15.0</v>
      </c>
      <c r="AI26" s="73" t="s">
        <v>103</v>
      </c>
      <c r="AJ26" s="73" t="s">
        <v>165</v>
      </c>
    </row>
    <row r="27">
      <c r="B27" s="101" t="s">
        <v>166</v>
      </c>
      <c r="C27" s="101" t="s">
        <v>167</v>
      </c>
      <c r="G27" s="64" t="str">
        <f>'Schedule New'!WhiteP5</f>
        <v>Steve (W)</v>
      </c>
      <c r="H27" s="73" t="s">
        <v>49</v>
      </c>
      <c r="I27" s="70" t="str">
        <f>'Schedule New'!RedP5</f>
        <v>Marcus (R)</v>
      </c>
      <c r="K27" s="60" t="str">
        <f>'Schedule New'!BlackP5</f>
        <v>Charlie (A)</v>
      </c>
      <c r="L27" s="73" t="s">
        <v>49</v>
      </c>
      <c r="M27" s="62" t="str">
        <f>'Schedule New'!BlueP5</f>
        <v>Mikey (B)</v>
      </c>
      <c r="N27" s="98"/>
      <c r="O27" s="94"/>
      <c r="P27" s="64" t="str">
        <f>G27</f>
        <v>Steve (W)</v>
      </c>
      <c r="Q27" s="73" t="s">
        <v>49</v>
      </c>
      <c r="R27" s="62" t="str">
        <f>M27</f>
        <v>Mikey (B)</v>
      </c>
      <c r="T27" s="70" t="str">
        <f>I27</f>
        <v>Marcus (R)</v>
      </c>
      <c r="U27" s="73" t="s">
        <v>49</v>
      </c>
      <c r="V27" s="60" t="str">
        <f>K27</f>
        <v>Charlie (A)</v>
      </c>
      <c r="W27" s="98"/>
      <c r="X27" s="96"/>
      <c r="Y27" s="64" t="str">
        <f>P27</f>
        <v>Steve (W)</v>
      </c>
      <c r="Z27" s="73" t="s">
        <v>49</v>
      </c>
      <c r="AA27" s="60" t="str">
        <f>V27</f>
        <v>Charlie (A)</v>
      </c>
      <c r="AC27" s="62" t="str">
        <f>R27</f>
        <v>Mikey (B)</v>
      </c>
      <c r="AD27" s="73" t="s">
        <v>49</v>
      </c>
      <c r="AE27" s="70" t="str">
        <f>T27</f>
        <v>Marcus (R)</v>
      </c>
      <c r="AH27" s="73">
        <v>16.0</v>
      </c>
      <c r="AI27" s="73" t="s">
        <v>101</v>
      </c>
      <c r="AJ27" s="73" t="s">
        <v>168</v>
      </c>
    </row>
    <row r="28">
      <c r="B28" s="101" t="s">
        <v>169</v>
      </c>
      <c r="C28" s="101" t="s">
        <v>170</v>
      </c>
      <c r="G28" s="64"/>
      <c r="N28" s="98"/>
      <c r="O28" s="94"/>
      <c r="P28" s="64"/>
      <c r="W28" s="98"/>
      <c r="X28" s="96"/>
      <c r="Y28" s="64"/>
      <c r="AH28" s="73">
        <v>17.0</v>
      </c>
      <c r="AI28" s="73" t="s">
        <v>101</v>
      </c>
      <c r="AJ28" s="73" t="s">
        <v>171</v>
      </c>
    </row>
    <row r="29">
      <c r="B29" s="101" t="s">
        <v>172</v>
      </c>
      <c r="C29" s="101" t="s">
        <v>173</v>
      </c>
      <c r="G29" s="64"/>
      <c r="N29" s="98"/>
      <c r="O29" s="94"/>
      <c r="P29" s="64"/>
      <c r="W29" s="98"/>
      <c r="X29" s="96"/>
      <c r="Y29" s="64"/>
      <c r="AH29" s="73">
        <v>18.0</v>
      </c>
      <c r="AI29" s="73" t="s">
        <v>103</v>
      </c>
      <c r="AJ29" s="73" t="s">
        <v>174</v>
      </c>
    </row>
    <row r="30">
      <c r="B30" s="101" t="s">
        <v>175</v>
      </c>
      <c r="C30" s="101" t="s">
        <v>176</v>
      </c>
      <c r="G30" s="64" t="str">
        <f>'Schedule New'!WhiteP6</f>
        <v>Kyle (W)</v>
      </c>
      <c r="H30" s="73" t="s">
        <v>49</v>
      </c>
      <c r="I30" s="62" t="str">
        <f>'Schedule New'!BlueP6</f>
        <v>Dave (B)</v>
      </c>
      <c r="K30" s="70" t="str">
        <f>'Schedule New'!RedP6</f>
        <v>Riley (R)</v>
      </c>
      <c r="L30" s="73" t="s">
        <v>49</v>
      </c>
      <c r="M30" s="60" t="str">
        <f>'Schedule New'!BlackP6</f>
        <v>Paul (A)</v>
      </c>
      <c r="O30" s="94"/>
      <c r="P30" s="64" t="str">
        <f>G30</f>
        <v>Kyle (W)</v>
      </c>
      <c r="Q30" s="73" t="s">
        <v>49</v>
      </c>
      <c r="R30" s="60" t="str">
        <f>M30</f>
        <v>Paul (A)</v>
      </c>
      <c r="T30" s="62" t="str">
        <f>I30</f>
        <v>Dave (B)</v>
      </c>
      <c r="U30" s="73" t="s">
        <v>49</v>
      </c>
      <c r="V30" s="70" t="str">
        <f>K30</f>
        <v>Riley (R)</v>
      </c>
      <c r="X30" s="96"/>
      <c r="Y30" s="64" t="str">
        <f>P30</f>
        <v>Kyle (W)</v>
      </c>
      <c r="Z30" s="73" t="s">
        <v>49</v>
      </c>
      <c r="AA30" s="70" t="str">
        <f>V30</f>
        <v>Riley (R)</v>
      </c>
      <c r="AC30" s="60" t="str">
        <f>R30</f>
        <v>Paul (A)</v>
      </c>
      <c r="AD30" s="73" t="s">
        <v>49</v>
      </c>
      <c r="AE30" s="62" t="str">
        <f>T30</f>
        <v>Dave (B)</v>
      </c>
      <c r="AH30" s="73">
        <v>19.0</v>
      </c>
      <c r="AI30" s="73" t="s">
        <v>104</v>
      </c>
      <c r="AJ30" s="73" t="s">
        <v>174</v>
      </c>
    </row>
    <row r="31">
      <c r="J31" s="100"/>
      <c r="K31" s="100"/>
      <c r="L31" s="100"/>
      <c r="M31" s="85"/>
      <c r="N31" s="85"/>
      <c r="O31" s="100"/>
      <c r="P31" s="100"/>
      <c r="Q31" s="100"/>
      <c r="R31" s="85"/>
      <c r="S31" s="85"/>
      <c r="T31" s="85"/>
      <c r="U31" s="85"/>
      <c r="V31" s="85"/>
      <c r="W31" s="85"/>
      <c r="AH31" s="73">
        <v>20.0</v>
      </c>
      <c r="AI31" s="73" t="s">
        <v>102</v>
      </c>
      <c r="AJ31" s="73" t="s">
        <v>177</v>
      </c>
    </row>
    <row r="32">
      <c r="F32" s="88" t="s">
        <v>178</v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</row>
    <row r="33">
      <c r="G33" s="64" t="s">
        <v>179</v>
      </c>
      <c r="M33" s="60" t="s">
        <v>180</v>
      </c>
      <c r="P33" s="85"/>
      <c r="T33" s="62" t="s">
        <v>181</v>
      </c>
      <c r="AA33" s="70" t="s">
        <v>182</v>
      </c>
    </row>
    <row r="34">
      <c r="G34" s="64" t="str">
        <f t="shared" ref="G34:G35" si="1">C4</f>
        <v>Rob (W)</v>
      </c>
      <c r="M34" s="60" t="str">
        <f t="shared" ref="M34:M35" si="2">C11</f>
        <v>Mitch (A)</v>
      </c>
      <c r="P34" s="85"/>
      <c r="T34" s="62" t="str">
        <f t="shared" ref="T34:T35" si="3">C18</f>
        <v>Troy (B)</v>
      </c>
      <c r="AA34" s="70" t="str">
        <f t="shared" ref="AA34:AA35" si="4">C25</f>
        <v>Eric (R)</v>
      </c>
    </row>
    <row r="35">
      <c r="G35" s="64" t="str">
        <f t="shared" si="1"/>
        <v>Dutch (W)</v>
      </c>
      <c r="M35" s="60" t="str">
        <f t="shared" si="2"/>
        <v>Miller (A)</v>
      </c>
      <c r="P35" s="85"/>
      <c r="T35" s="62" t="str">
        <f t="shared" si="3"/>
        <v>Rocky (B)</v>
      </c>
      <c r="AA35" s="70" t="str">
        <f t="shared" si="4"/>
        <v>Andy (R)</v>
      </c>
    </row>
    <row r="36">
      <c r="G36" s="64"/>
      <c r="M36" s="60"/>
      <c r="P36" s="85"/>
      <c r="T36" s="62"/>
      <c r="AA36" s="70"/>
    </row>
    <row r="37">
      <c r="G37" s="64"/>
      <c r="M37" s="60"/>
      <c r="P37" s="85"/>
      <c r="T37" s="62"/>
      <c r="AA37" s="70"/>
    </row>
    <row r="38">
      <c r="G38" s="64" t="str">
        <f t="shared" ref="G38:G41" si="5">C6</f>
        <v>Tyler (W)</v>
      </c>
      <c r="M38" s="60" t="str">
        <f t="shared" ref="M38:M41" si="6">C13</f>
        <v>Ryan (A)</v>
      </c>
      <c r="P38" s="85"/>
      <c r="T38" s="62" t="str">
        <f t="shared" ref="T38:T41" si="7">C20</f>
        <v>Matt B (B)</v>
      </c>
      <c r="AA38" s="70" t="str">
        <f t="shared" ref="AA38:AA41" si="8">C27</f>
        <v>Joe (R)</v>
      </c>
    </row>
    <row r="39">
      <c r="G39" s="64" t="str">
        <f t="shared" si="5"/>
        <v>Will (W)</v>
      </c>
      <c r="M39" s="60" t="str">
        <f t="shared" si="6"/>
        <v>Adam (A)</v>
      </c>
      <c r="P39" s="85"/>
      <c r="T39" s="62" t="str">
        <f t="shared" si="7"/>
        <v>Kelly (B)</v>
      </c>
      <c r="AA39" s="70" t="str">
        <f t="shared" si="8"/>
        <v>JP (R)</v>
      </c>
    </row>
    <row r="40">
      <c r="G40" s="64" t="str">
        <f t="shared" si="5"/>
        <v>Steve (W)</v>
      </c>
      <c r="M40" s="60" t="str">
        <f t="shared" si="6"/>
        <v>Charlie (A)</v>
      </c>
      <c r="P40" s="85"/>
      <c r="T40" s="62" t="str">
        <f t="shared" si="7"/>
        <v>Mikey (B)</v>
      </c>
      <c r="AA40" s="70" t="str">
        <f t="shared" si="8"/>
        <v>Marcus (R)</v>
      </c>
    </row>
    <row r="41">
      <c r="G41" s="64" t="str">
        <f t="shared" si="5"/>
        <v>Kyle (W)</v>
      </c>
      <c r="J41" s="85"/>
      <c r="L41" s="85"/>
      <c r="M41" s="60" t="str">
        <f t="shared" si="6"/>
        <v>Paul (A)</v>
      </c>
      <c r="N41" s="85"/>
      <c r="O41" s="85"/>
      <c r="P41" s="85"/>
      <c r="Q41" s="85"/>
      <c r="R41" s="85"/>
      <c r="S41" s="85"/>
      <c r="T41" s="62" t="str">
        <f t="shared" si="7"/>
        <v>Dave (B)</v>
      </c>
      <c r="U41" s="85"/>
      <c r="V41" s="85"/>
      <c r="W41" s="85"/>
      <c r="AA41" s="70" t="str">
        <f t="shared" si="8"/>
        <v>Riley (R)</v>
      </c>
    </row>
    <row r="42"/>
    <row r="43"/>
    <row r="44">
      <c r="P44" s="85"/>
    </row>
    <row r="45">
      <c r="P45" s="85"/>
    </row>
    <row r="46">
      <c r="P46" s="85"/>
    </row>
    <row r="47">
      <c r="P47" s="85"/>
    </row>
    <row r="48">
      <c r="P48" s="85"/>
    </row>
    <row r="49">
      <c r="P49" s="85"/>
    </row>
    <row r="50">
      <c r="P50" s="85"/>
    </row>
    <row r="51">
      <c r="P51" s="85"/>
    </row>
    <row r="52">
      <c r="P52" s="85"/>
    </row>
    <row r="53">
      <c r="P53" s="85"/>
    </row>
    <row r="54">
      <c r="P54" s="85"/>
    </row>
    <row r="55">
      <c r="P55" s="85"/>
    </row>
    <row r="56">
      <c r="P56" s="85"/>
    </row>
    <row r="57">
      <c r="P57" s="85"/>
    </row>
    <row r="58">
      <c r="P58" s="85"/>
    </row>
    <row r="59">
      <c r="P59" s="85"/>
    </row>
    <row r="60">
      <c r="P60" s="85"/>
    </row>
    <row r="61">
      <c r="P61" s="85"/>
    </row>
    <row r="62">
      <c r="P62" s="85"/>
    </row>
    <row r="63">
      <c r="P63" s="85"/>
    </row>
    <row r="64">
      <c r="P64" s="85"/>
    </row>
    <row r="65">
      <c r="P65" s="85"/>
    </row>
    <row r="66">
      <c r="P66" s="85"/>
    </row>
    <row r="67">
      <c r="P67" s="85"/>
    </row>
    <row r="68">
      <c r="P68" s="85"/>
    </row>
    <row r="69">
      <c r="P69" s="85"/>
    </row>
    <row r="70">
      <c r="P70" s="85"/>
    </row>
    <row r="71">
      <c r="P71" s="85"/>
    </row>
    <row r="72">
      <c r="P72" s="85"/>
    </row>
    <row r="73">
      <c r="P73" s="85"/>
    </row>
    <row r="74">
      <c r="P74" s="85"/>
    </row>
    <row r="75">
      <c r="P75" s="85"/>
    </row>
    <row r="76">
      <c r="P76" s="85"/>
    </row>
    <row r="77">
      <c r="P77" s="85"/>
    </row>
    <row r="78">
      <c r="P78" s="85"/>
    </row>
    <row r="79">
      <c r="P79" s="85"/>
    </row>
    <row r="80">
      <c r="P80" s="85"/>
    </row>
    <row r="81">
      <c r="P81" s="85"/>
    </row>
    <row r="82">
      <c r="P82" s="85"/>
    </row>
    <row r="83">
      <c r="P83" s="85"/>
    </row>
    <row r="84">
      <c r="P84" s="85"/>
    </row>
    <row r="85">
      <c r="P85" s="85"/>
    </row>
    <row r="86">
      <c r="P86" s="85"/>
    </row>
    <row r="87">
      <c r="P87" s="85"/>
    </row>
    <row r="88">
      <c r="P88" s="85"/>
    </row>
    <row r="89">
      <c r="P89" s="85"/>
    </row>
    <row r="90">
      <c r="P90" s="85"/>
    </row>
    <row r="91">
      <c r="P91" s="85"/>
    </row>
    <row r="92">
      <c r="P92" s="85"/>
    </row>
    <row r="93">
      <c r="P93" s="85"/>
    </row>
    <row r="94">
      <c r="P94" s="85"/>
    </row>
    <row r="95">
      <c r="P95" s="85"/>
    </row>
    <row r="96">
      <c r="P96" s="85"/>
    </row>
    <row r="97">
      <c r="P97" s="85"/>
    </row>
    <row r="98">
      <c r="P98" s="85"/>
    </row>
    <row r="99">
      <c r="P99" s="85"/>
    </row>
    <row r="100">
      <c r="P100" s="85"/>
    </row>
    <row r="101">
      <c r="P101" s="85"/>
    </row>
    <row r="102">
      <c r="P102" s="85"/>
    </row>
    <row r="103">
      <c r="P103" s="85"/>
    </row>
    <row r="104">
      <c r="P104" s="85"/>
    </row>
    <row r="105">
      <c r="P105" s="85"/>
    </row>
    <row r="106">
      <c r="P106" s="85"/>
    </row>
    <row r="107">
      <c r="P107" s="85"/>
    </row>
    <row r="108">
      <c r="P108" s="85"/>
    </row>
    <row r="109">
      <c r="P109" s="85"/>
    </row>
    <row r="110">
      <c r="P110" s="85"/>
    </row>
    <row r="111">
      <c r="P111" s="85"/>
    </row>
    <row r="112">
      <c r="P112" s="85"/>
    </row>
    <row r="113">
      <c r="P113" s="85"/>
    </row>
    <row r="114">
      <c r="P114" s="85"/>
    </row>
    <row r="115">
      <c r="P115" s="85"/>
    </row>
    <row r="116">
      <c r="P116" s="85"/>
    </row>
    <row r="117">
      <c r="P117" s="85"/>
    </row>
    <row r="118">
      <c r="P118" s="85"/>
    </row>
    <row r="119">
      <c r="P119" s="85"/>
    </row>
    <row r="120">
      <c r="P120" s="85"/>
    </row>
    <row r="121">
      <c r="P121" s="85"/>
    </row>
    <row r="122">
      <c r="P122" s="85"/>
    </row>
    <row r="123">
      <c r="P123" s="85"/>
    </row>
    <row r="124">
      <c r="P124" s="85"/>
    </row>
    <row r="125">
      <c r="P125" s="85"/>
    </row>
    <row r="126">
      <c r="P126" s="85"/>
    </row>
    <row r="127">
      <c r="P127" s="85"/>
    </row>
    <row r="128">
      <c r="P128" s="85"/>
    </row>
    <row r="129">
      <c r="P129" s="85"/>
    </row>
    <row r="130">
      <c r="P130" s="85"/>
    </row>
    <row r="131">
      <c r="P131" s="85"/>
    </row>
    <row r="132">
      <c r="P132" s="85"/>
    </row>
    <row r="133">
      <c r="P133" s="85"/>
    </row>
    <row r="134">
      <c r="P134" s="85"/>
    </row>
    <row r="135">
      <c r="P135" s="85"/>
    </row>
    <row r="136">
      <c r="P136" s="85"/>
    </row>
    <row r="137">
      <c r="P137" s="85"/>
    </row>
    <row r="138">
      <c r="P138" s="85"/>
    </row>
    <row r="139">
      <c r="P139" s="85"/>
    </row>
    <row r="140">
      <c r="P140" s="85"/>
    </row>
    <row r="141">
      <c r="P141" s="85"/>
    </row>
    <row r="142">
      <c r="P142" s="85"/>
    </row>
    <row r="143">
      <c r="P143" s="85"/>
    </row>
    <row r="144">
      <c r="P144" s="85"/>
    </row>
    <row r="145">
      <c r="P145" s="85"/>
    </row>
    <row r="146">
      <c r="P146" s="85"/>
    </row>
    <row r="147">
      <c r="P147" s="85"/>
    </row>
    <row r="148">
      <c r="P148" s="85"/>
    </row>
    <row r="149">
      <c r="P149" s="85"/>
    </row>
    <row r="150">
      <c r="P150" s="85"/>
    </row>
    <row r="151">
      <c r="P151" s="85"/>
    </row>
    <row r="152">
      <c r="P152" s="85"/>
    </row>
    <row r="153">
      <c r="P153" s="85"/>
    </row>
    <row r="154">
      <c r="P154" s="85"/>
    </row>
    <row r="155">
      <c r="P155" s="85"/>
    </row>
    <row r="156">
      <c r="P156" s="85"/>
    </row>
    <row r="157">
      <c r="P157" s="85"/>
    </row>
    <row r="158">
      <c r="P158" s="85"/>
    </row>
    <row r="159">
      <c r="P159" s="85"/>
    </row>
    <row r="160">
      <c r="P160" s="85"/>
    </row>
    <row r="161">
      <c r="P161" s="85"/>
    </row>
    <row r="162">
      <c r="P162" s="85"/>
    </row>
    <row r="163">
      <c r="P163" s="85"/>
    </row>
    <row r="164">
      <c r="P164" s="85"/>
    </row>
    <row r="165">
      <c r="P165" s="85"/>
    </row>
    <row r="166">
      <c r="P166" s="85"/>
    </row>
    <row r="167">
      <c r="P167" s="85"/>
    </row>
    <row r="168">
      <c r="P168" s="85"/>
    </row>
    <row r="169">
      <c r="P169" s="85"/>
    </row>
    <row r="170">
      <c r="P170" s="85"/>
    </row>
    <row r="171">
      <c r="P171" s="85"/>
    </row>
    <row r="172">
      <c r="P172" s="85"/>
    </row>
    <row r="173">
      <c r="P173" s="85"/>
    </row>
    <row r="174">
      <c r="P174" s="85"/>
    </row>
    <row r="175">
      <c r="P175" s="85"/>
    </row>
    <row r="176">
      <c r="P176" s="85"/>
    </row>
    <row r="177">
      <c r="P177" s="85"/>
    </row>
    <row r="178">
      <c r="P178" s="85"/>
    </row>
    <row r="179">
      <c r="P179" s="85"/>
    </row>
    <row r="180">
      <c r="P180" s="85"/>
    </row>
    <row r="181">
      <c r="P181" s="85"/>
    </row>
    <row r="182">
      <c r="P182" s="85"/>
    </row>
    <row r="183">
      <c r="P183" s="85"/>
    </row>
    <row r="184">
      <c r="P184" s="85"/>
    </row>
    <row r="185">
      <c r="P185" s="85"/>
    </row>
    <row r="186">
      <c r="P186" s="85"/>
    </row>
    <row r="187">
      <c r="P187" s="85"/>
    </row>
    <row r="188">
      <c r="P188" s="85"/>
    </row>
    <row r="189">
      <c r="P189" s="85"/>
    </row>
    <row r="190">
      <c r="P190" s="85"/>
    </row>
    <row r="191">
      <c r="P191" s="85"/>
    </row>
    <row r="192">
      <c r="P192" s="85"/>
    </row>
    <row r="193">
      <c r="P193" s="85"/>
    </row>
    <row r="194">
      <c r="P194" s="85"/>
    </row>
    <row r="195">
      <c r="P195" s="85"/>
    </row>
    <row r="196">
      <c r="P196" s="85"/>
    </row>
    <row r="197">
      <c r="P197" s="85"/>
    </row>
    <row r="198">
      <c r="P198" s="85"/>
    </row>
    <row r="199">
      <c r="P199" s="85"/>
    </row>
    <row r="200">
      <c r="P200" s="85"/>
    </row>
    <row r="201">
      <c r="P201" s="85"/>
    </row>
    <row r="202">
      <c r="P202" s="85"/>
    </row>
    <row r="203">
      <c r="P203" s="85"/>
    </row>
    <row r="204">
      <c r="P204" s="85"/>
    </row>
    <row r="205">
      <c r="P205" s="85"/>
    </row>
    <row r="206">
      <c r="P206" s="85"/>
    </row>
    <row r="207">
      <c r="P207" s="85"/>
    </row>
    <row r="208">
      <c r="P208" s="85"/>
    </row>
    <row r="209">
      <c r="P209" s="85"/>
    </row>
    <row r="210">
      <c r="P210" s="85"/>
    </row>
    <row r="211">
      <c r="P211" s="85"/>
    </row>
    <row r="212">
      <c r="P212" s="85"/>
    </row>
    <row r="213">
      <c r="P213" s="85"/>
    </row>
    <row r="214">
      <c r="P214" s="85"/>
    </row>
    <row r="215">
      <c r="P215" s="85"/>
    </row>
    <row r="216">
      <c r="P216" s="85"/>
    </row>
    <row r="217">
      <c r="P217" s="85"/>
    </row>
    <row r="218">
      <c r="P218" s="85"/>
    </row>
    <row r="219">
      <c r="P219" s="85"/>
    </row>
    <row r="220">
      <c r="P220" s="85"/>
    </row>
    <row r="221">
      <c r="P221" s="85"/>
    </row>
    <row r="222">
      <c r="P222" s="85"/>
    </row>
    <row r="223">
      <c r="P223" s="85"/>
    </row>
    <row r="224">
      <c r="P224" s="85"/>
    </row>
    <row r="225">
      <c r="P225" s="85"/>
    </row>
    <row r="226">
      <c r="P226" s="85"/>
    </row>
    <row r="227">
      <c r="P227" s="85"/>
    </row>
    <row r="228">
      <c r="P228" s="85"/>
    </row>
    <row r="229">
      <c r="P229" s="85"/>
    </row>
    <row r="230">
      <c r="P230" s="85"/>
    </row>
    <row r="231">
      <c r="P231" s="85"/>
    </row>
    <row r="232">
      <c r="P232" s="85"/>
    </row>
    <row r="233">
      <c r="P233" s="85"/>
    </row>
    <row r="234">
      <c r="P234" s="85"/>
    </row>
    <row r="235">
      <c r="P235" s="85"/>
    </row>
    <row r="236">
      <c r="P236" s="85"/>
    </row>
    <row r="237">
      <c r="P237" s="85"/>
    </row>
    <row r="238">
      <c r="P238" s="85"/>
    </row>
    <row r="239">
      <c r="P239" s="85"/>
    </row>
    <row r="240">
      <c r="P240" s="85"/>
    </row>
    <row r="241">
      <c r="P241" s="85"/>
    </row>
    <row r="242">
      <c r="P242" s="85"/>
    </row>
    <row r="243">
      <c r="P243" s="85"/>
    </row>
    <row r="244">
      <c r="P244" s="85"/>
    </row>
    <row r="245">
      <c r="P245" s="85"/>
    </row>
    <row r="246">
      <c r="P246" s="85"/>
    </row>
    <row r="247">
      <c r="P247" s="85"/>
    </row>
    <row r="248">
      <c r="P248" s="85"/>
    </row>
    <row r="249">
      <c r="P249" s="85"/>
    </row>
    <row r="250">
      <c r="P250" s="85"/>
    </row>
    <row r="251">
      <c r="P251" s="85"/>
    </row>
    <row r="252">
      <c r="P252" s="85"/>
    </row>
    <row r="253">
      <c r="P253" s="85"/>
    </row>
    <row r="254">
      <c r="P254" s="85"/>
    </row>
    <row r="255">
      <c r="P255" s="85"/>
    </row>
    <row r="256">
      <c r="P256" s="85"/>
    </row>
    <row r="257">
      <c r="P257" s="85"/>
    </row>
    <row r="258">
      <c r="P258" s="85"/>
    </row>
    <row r="259">
      <c r="P259" s="85"/>
    </row>
    <row r="260">
      <c r="P260" s="85"/>
    </row>
    <row r="261">
      <c r="P261" s="85"/>
    </row>
    <row r="262">
      <c r="P262" s="85"/>
    </row>
    <row r="263">
      <c r="P263" s="85"/>
    </row>
    <row r="264">
      <c r="P264" s="85"/>
    </row>
    <row r="265">
      <c r="P265" s="85"/>
    </row>
    <row r="266">
      <c r="P266" s="85"/>
    </row>
    <row r="267">
      <c r="P267" s="85"/>
    </row>
    <row r="268">
      <c r="P268" s="85"/>
    </row>
    <row r="269">
      <c r="P269" s="85"/>
    </row>
    <row r="270">
      <c r="P270" s="85"/>
    </row>
    <row r="271">
      <c r="P271" s="85"/>
    </row>
    <row r="272">
      <c r="P272" s="85"/>
    </row>
    <row r="273">
      <c r="P273" s="85"/>
    </row>
    <row r="274">
      <c r="P274" s="85"/>
    </row>
    <row r="275">
      <c r="P275" s="85"/>
    </row>
    <row r="276">
      <c r="P276" s="85"/>
    </row>
    <row r="277">
      <c r="P277" s="85"/>
    </row>
    <row r="278">
      <c r="P278" s="85"/>
    </row>
    <row r="279">
      <c r="P279" s="85"/>
    </row>
    <row r="280">
      <c r="P280" s="85"/>
    </row>
    <row r="281">
      <c r="P281" s="85"/>
    </row>
    <row r="282">
      <c r="P282" s="85"/>
    </row>
    <row r="283">
      <c r="P283" s="85"/>
    </row>
    <row r="284">
      <c r="P284" s="85"/>
    </row>
    <row r="285">
      <c r="P285" s="85"/>
    </row>
    <row r="286">
      <c r="P286" s="85"/>
    </row>
    <row r="287">
      <c r="P287" s="85"/>
    </row>
    <row r="288">
      <c r="P288" s="85"/>
    </row>
    <row r="289">
      <c r="P289" s="85"/>
    </row>
    <row r="290">
      <c r="P290" s="85"/>
    </row>
    <row r="291">
      <c r="P291" s="85"/>
    </row>
    <row r="292">
      <c r="P292" s="85"/>
    </row>
    <row r="293">
      <c r="P293" s="85"/>
    </row>
    <row r="294">
      <c r="P294" s="85"/>
    </row>
    <row r="295">
      <c r="P295" s="85"/>
    </row>
    <row r="296">
      <c r="P296" s="85"/>
    </row>
    <row r="297">
      <c r="P297" s="85"/>
    </row>
    <row r="298">
      <c r="P298" s="85"/>
    </row>
    <row r="299">
      <c r="P299" s="85"/>
    </row>
    <row r="300">
      <c r="P300" s="85"/>
    </row>
    <row r="301">
      <c r="P301" s="85"/>
    </row>
    <row r="302">
      <c r="P302" s="85"/>
    </row>
    <row r="303">
      <c r="P303" s="85"/>
    </row>
    <row r="304">
      <c r="P304" s="85"/>
    </row>
    <row r="305">
      <c r="P305" s="85"/>
    </row>
    <row r="306">
      <c r="P306" s="85"/>
    </row>
    <row r="307">
      <c r="P307" s="85"/>
    </row>
    <row r="308">
      <c r="P308" s="85"/>
    </row>
    <row r="309">
      <c r="P309" s="85"/>
    </row>
    <row r="310">
      <c r="P310" s="85"/>
    </row>
    <row r="311">
      <c r="P311" s="85"/>
    </row>
    <row r="312">
      <c r="P312" s="85"/>
    </row>
    <row r="313">
      <c r="P313" s="85"/>
    </row>
    <row r="314">
      <c r="P314" s="85"/>
    </row>
    <row r="315">
      <c r="P315" s="85"/>
    </row>
    <row r="316">
      <c r="P316" s="85"/>
    </row>
    <row r="317">
      <c r="P317" s="85"/>
    </row>
    <row r="318">
      <c r="P318" s="85"/>
    </row>
    <row r="319">
      <c r="P319" s="85"/>
    </row>
    <row r="320">
      <c r="P320" s="85"/>
    </row>
    <row r="321">
      <c r="P321" s="85"/>
    </row>
    <row r="322">
      <c r="P322" s="85"/>
    </row>
    <row r="323">
      <c r="P323" s="85"/>
    </row>
    <row r="324">
      <c r="P324" s="85"/>
    </row>
    <row r="325">
      <c r="P325" s="85"/>
    </row>
    <row r="326">
      <c r="P326" s="85"/>
    </row>
    <row r="327">
      <c r="P327" s="85"/>
    </row>
    <row r="328">
      <c r="P328" s="85"/>
    </row>
    <row r="329">
      <c r="P329" s="85"/>
    </row>
    <row r="330">
      <c r="P330" s="85"/>
    </row>
    <row r="331">
      <c r="P331" s="85"/>
    </row>
    <row r="332">
      <c r="P332" s="85"/>
    </row>
    <row r="333">
      <c r="P333" s="85"/>
    </row>
    <row r="334">
      <c r="P334" s="85"/>
    </row>
    <row r="335">
      <c r="P335" s="85"/>
    </row>
    <row r="336">
      <c r="P336" s="85"/>
    </row>
    <row r="337">
      <c r="P337" s="85"/>
    </row>
    <row r="338">
      <c r="P338" s="85"/>
    </row>
    <row r="339">
      <c r="P339" s="85"/>
    </row>
    <row r="340">
      <c r="P340" s="85"/>
    </row>
    <row r="341">
      <c r="P341" s="85"/>
    </row>
    <row r="342">
      <c r="P342" s="85"/>
    </row>
    <row r="343">
      <c r="P343" s="85"/>
    </row>
    <row r="344">
      <c r="P344" s="85"/>
    </row>
    <row r="345">
      <c r="P345" s="85"/>
    </row>
    <row r="346">
      <c r="P346" s="85"/>
    </row>
    <row r="347">
      <c r="P347" s="85"/>
    </row>
    <row r="348">
      <c r="P348" s="85"/>
    </row>
    <row r="349">
      <c r="P349" s="85"/>
    </row>
    <row r="350">
      <c r="P350" s="85"/>
    </row>
    <row r="351">
      <c r="P351" s="85"/>
    </row>
    <row r="352">
      <c r="P352" s="85"/>
    </row>
    <row r="353">
      <c r="P353" s="85"/>
    </row>
    <row r="354">
      <c r="P354" s="85"/>
    </row>
    <row r="355">
      <c r="P355" s="85"/>
    </row>
    <row r="356">
      <c r="P356" s="85"/>
    </row>
    <row r="357">
      <c r="P357" s="85"/>
    </row>
    <row r="358">
      <c r="P358" s="85"/>
    </row>
    <row r="359">
      <c r="P359" s="85"/>
    </row>
    <row r="360">
      <c r="P360" s="85"/>
    </row>
    <row r="361">
      <c r="P361" s="85"/>
    </row>
    <row r="362">
      <c r="P362" s="85"/>
    </row>
    <row r="363">
      <c r="P363" s="85"/>
    </row>
    <row r="364">
      <c r="P364" s="85"/>
    </row>
    <row r="365">
      <c r="P365" s="85"/>
    </row>
    <row r="366">
      <c r="P366" s="85"/>
    </row>
    <row r="367">
      <c r="P367" s="85"/>
    </row>
    <row r="368">
      <c r="P368" s="85"/>
    </row>
    <row r="369">
      <c r="P369" s="85"/>
    </row>
    <row r="370">
      <c r="P370" s="85"/>
    </row>
    <row r="371">
      <c r="P371" s="85"/>
    </row>
    <row r="372">
      <c r="P372" s="85"/>
    </row>
    <row r="373">
      <c r="P373" s="85"/>
    </row>
    <row r="374">
      <c r="P374" s="85"/>
    </row>
    <row r="375">
      <c r="P375" s="85"/>
    </row>
    <row r="376">
      <c r="P376" s="85"/>
    </row>
    <row r="377">
      <c r="P377" s="85"/>
    </row>
    <row r="378">
      <c r="P378" s="85"/>
    </row>
    <row r="379">
      <c r="P379" s="85"/>
    </row>
    <row r="380">
      <c r="P380" s="85"/>
    </row>
    <row r="381">
      <c r="P381" s="85"/>
    </row>
    <row r="382">
      <c r="P382" s="85"/>
    </row>
    <row r="383">
      <c r="P383" s="85"/>
    </row>
    <row r="384">
      <c r="P384" s="85"/>
    </row>
    <row r="385">
      <c r="P385" s="85"/>
    </row>
    <row r="386">
      <c r="P386" s="85"/>
    </row>
    <row r="387">
      <c r="P387" s="85"/>
    </row>
    <row r="388">
      <c r="P388" s="85"/>
    </row>
    <row r="389">
      <c r="P389" s="85"/>
    </row>
    <row r="390">
      <c r="P390" s="85"/>
    </row>
    <row r="391">
      <c r="P391" s="85"/>
    </row>
    <row r="392">
      <c r="P392" s="85"/>
    </row>
    <row r="393">
      <c r="P393" s="85"/>
    </row>
    <row r="394">
      <c r="P394" s="85"/>
    </row>
    <row r="395">
      <c r="P395" s="85"/>
    </row>
    <row r="396">
      <c r="P396" s="85"/>
    </row>
    <row r="397">
      <c r="P397" s="85"/>
    </row>
    <row r="398">
      <c r="P398" s="85"/>
    </row>
    <row r="399">
      <c r="P399" s="85"/>
    </row>
    <row r="400">
      <c r="P400" s="85"/>
    </row>
    <row r="401">
      <c r="P401" s="85"/>
    </row>
    <row r="402">
      <c r="P402" s="85"/>
    </row>
    <row r="403">
      <c r="P403" s="85"/>
    </row>
    <row r="404">
      <c r="P404" s="85"/>
    </row>
    <row r="405">
      <c r="P405" s="85"/>
    </row>
    <row r="406">
      <c r="P406" s="85"/>
    </row>
    <row r="407">
      <c r="P407" s="85"/>
    </row>
    <row r="408">
      <c r="P408" s="85"/>
    </row>
    <row r="409">
      <c r="P409" s="85"/>
    </row>
    <row r="410">
      <c r="P410" s="85"/>
    </row>
    <row r="411">
      <c r="P411" s="85"/>
    </row>
    <row r="412">
      <c r="P412" s="85"/>
    </row>
    <row r="413">
      <c r="P413" s="85"/>
    </row>
    <row r="414">
      <c r="P414" s="85"/>
    </row>
    <row r="415">
      <c r="P415" s="85"/>
    </row>
    <row r="416">
      <c r="P416" s="85"/>
    </row>
    <row r="417">
      <c r="P417" s="85"/>
    </row>
    <row r="418">
      <c r="P418" s="85"/>
    </row>
    <row r="419">
      <c r="P419" s="85"/>
    </row>
    <row r="420">
      <c r="P420" s="85"/>
    </row>
    <row r="421">
      <c r="P421" s="85"/>
    </row>
    <row r="422">
      <c r="P422" s="85"/>
    </row>
    <row r="423">
      <c r="P423" s="85"/>
    </row>
    <row r="424">
      <c r="P424" s="85"/>
    </row>
    <row r="425">
      <c r="P425" s="85"/>
    </row>
    <row r="426">
      <c r="P426" s="85"/>
    </row>
    <row r="427">
      <c r="P427" s="85"/>
    </row>
    <row r="428">
      <c r="P428" s="85"/>
    </row>
    <row r="429">
      <c r="P429" s="85"/>
    </row>
    <row r="430">
      <c r="P430" s="85"/>
    </row>
    <row r="431">
      <c r="P431" s="85"/>
    </row>
    <row r="432">
      <c r="P432" s="85"/>
    </row>
    <row r="433">
      <c r="P433" s="85"/>
    </row>
    <row r="434">
      <c r="P434" s="85"/>
    </row>
    <row r="435">
      <c r="P435" s="85"/>
    </row>
    <row r="436">
      <c r="P436" s="85"/>
    </row>
    <row r="437">
      <c r="P437" s="85"/>
    </row>
    <row r="438">
      <c r="P438" s="85"/>
    </row>
    <row r="439">
      <c r="P439" s="85"/>
    </row>
    <row r="440">
      <c r="P440" s="85"/>
    </row>
    <row r="441">
      <c r="P441" s="85"/>
    </row>
    <row r="442">
      <c r="P442" s="85"/>
    </row>
    <row r="443">
      <c r="P443" s="85"/>
    </row>
    <row r="444">
      <c r="P444" s="85"/>
    </row>
    <row r="445">
      <c r="P445" s="85"/>
    </row>
    <row r="446">
      <c r="P446" s="85"/>
    </row>
    <row r="447">
      <c r="P447" s="85"/>
    </row>
    <row r="448">
      <c r="P448" s="85"/>
    </row>
    <row r="449">
      <c r="P449" s="85"/>
    </row>
    <row r="450">
      <c r="P450" s="85"/>
    </row>
    <row r="451">
      <c r="P451" s="85"/>
    </row>
    <row r="452">
      <c r="P452" s="85"/>
    </row>
    <row r="453">
      <c r="P453" s="85"/>
    </row>
    <row r="454">
      <c r="P454" s="85"/>
    </row>
    <row r="455">
      <c r="P455" s="85"/>
    </row>
    <row r="456">
      <c r="P456" s="85"/>
    </row>
    <row r="457">
      <c r="P457" s="85"/>
    </row>
    <row r="458">
      <c r="P458" s="85"/>
    </row>
    <row r="459">
      <c r="P459" s="85"/>
    </row>
    <row r="460">
      <c r="P460" s="85"/>
    </row>
    <row r="461">
      <c r="P461" s="85"/>
    </row>
    <row r="462">
      <c r="P462" s="85"/>
    </row>
    <row r="463">
      <c r="P463" s="85"/>
    </row>
    <row r="464">
      <c r="P464" s="85"/>
    </row>
    <row r="465">
      <c r="P465" s="85"/>
    </row>
    <row r="466">
      <c r="P466" s="85"/>
    </row>
    <row r="467">
      <c r="P467" s="85"/>
    </row>
    <row r="468">
      <c r="P468" s="85"/>
    </row>
    <row r="469">
      <c r="P469" s="85"/>
    </row>
    <row r="470">
      <c r="P470" s="85"/>
    </row>
    <row r="471">
      <c r="P471" s="85"/>
    </row>
    <row r="472">
      <c r="P472" s="85"/>
    </row>
    <row r="473">
      <c r="P473" s="85"/>
    </row>
    <row r="474">
      <c r="P474" s="85"/>
    </row>
    <row r="475">
      <c r="P475" s="85"/>
    </row>
    <row r="476">
      <c r="P476" s="85"/>
    </row>
    <row r="477">
      <c r="P477" s="85"/>
    </row>
    <row r="478">
      <c r="P478" s="85"/>
    </row>
    <row r="479">
      <c r="P479" s="85"/>
    </row>
    <row r="480">
      <c r="P480" s="85"/>
    </row>
    <row r="481">
      <c r="P481" s="85"/>
    </row>
    <row r="482">
      <c r="P482" s="85"/>
    </row>
    <row r="483">
      <c r="P483" s="85"/>
    </row>
    <row r="484">
      <c r="P484" s="85"/>
    </row>
    <row r="485">
      <c r="P485" s="85"/>
    </row>
    <row r="486">
      <c r="P486" s="85"/>
    </row>
    <row r="487">
      <c r="P487" s="85"/>
    </row>
    <row r="488">
      <c r="P488" s="85"/>
    </row>
    <row r="489">
      <c r="P489" s="85"/>
    </row>
    <row r="490">
      <c r="P490" s="85"/>
    </row>
    <row r="491">
      <c r="P491" s="85"/>
    </row>
    <row r="492">
      <c r="P492" s="85"/>
    </row>
    <row r="493">
      <c r="P493" s="85"/>
    </row>
    <row r="494">
      <c r="P494" s="85"/>
    </row>
    <row r="495">
      <c r="P495" s="85"/>
    </row>
    <row r="496">
      <c r="P496" s="85"/>
    </row>
    <row r="497">
      <c r="P497" s="85"/>
    </row>
    <row r="498">
      <c r="P498" s="85"/>
    </row>
    <row r="499">
      <c r="P499" s="85"/>
    </row>
    <row r="500">
      <c r="P500" s="85"/>
    </row>
    <row r="501">
      <c r="P501" s="85"/>
    </row>
    <row r="502">
      <c r="P502" s="85"/>
    </row>
    <row r="503">
      <c r="P503" s="85"/>
    </row>
    <row r="504">
      <c r="P504" s="85"/>
    </row>
    <row r="505">
      <c r="P505" s="85"/>
    </row>
    <row r="506">
      <c r="P506" s="85"/>
    </row>
    <row r="507">
      <c r="P507" s="85"/>
    </row>
    <row r="508">
      <c r="P508" s="85"/>
    </row>
    <row r="509">
      <c r="P509" s="85"/>
    </row>
    <row r="510">
      <c r="P510" s="85"/>
    </row>
    <row r="511">
      <c r="P511" s="85"/>
    </row>
    <row r="512">
      <c r="P512" s="85"/>
    </row>
    <row r="513">
      <c r="P513" s="85"/>
    </row>
    <row r="514">
      <c r="P514" s="85"/>
    </row>
    <row r="515">
      <c r="P515" s="85"/>
    </row>
    <row r="516">
      <c r="P516" s="85"/>
    </row>
    <row r="517">
      <c r="P517" s="85"/>
    </row>
    <row r="518">
      <c r="P518" s="85"/>
    </row>
    <row r="519">
      <c r="P519" s="85"/>
    </row>
    <row r="520">
      <c r="P520" s="85"/>
    </row>
    <row r="521">
      <c r="P521" s="85"/>
    </row>
    <row r="522">
      <c r="P522" s="85"/>
    </row>
    <row r="523">
      <c r="P523" s="85"/>
    </row>
    <row r="524">
      <c r="P524" s="85"/>
    </row>
    <row r="525">
      <c r="P525" s="85"/>
    </row>
    <row r="526">
      <c r="P526" s="85"/>
    </row>
    <row r="527">
      <c r="P527" s="85"/>
    </row>
    <row r="528">
      <c r="P528" s="85"/>
    </row>
    <row r="529">
      <c r="P529" s="85"/>
    </row>
    <row r="530">
      <c r="P530" s="85"/>
    </row>
    <row r="531">
      <c r="P531" s="85"/>
    </row>
    <row r="532">
      <c r="P532" s="85"/>
    </row>
    <row r="533">
      <c r="P533" s="85"/>
    </row>
    <row r="534">
      <c r="P534" s="85"/>
    </row>
    <row r="535">
      <c r="P535" s="85"/>
    </row>
    <row r="536">
      <c r="P536" s="85"/>
    </row>
    <row r="537">
      <c r="P537" s="85"/>
    </row>
    <row r="538">
      <c r="P538" s="85"/>
    </row>
    <row r="539">
      <c r="P539" s="85"/>
    </row>
    <row r="540">
      <c r="P540" s="85"/>
    </row>
    <row r="541">
      <c r="P541" s="85"/>
    </row>
    <row r="542">
      <c r="P542" s="85"/>
    </row>
    <row r="543">
      <c r="P543" s="85"/>
    </row>
    <row r="544">
      <c r="P544" s="85"/>
    </row>
    <row r="545">
      <c r="P545" s="85"/>
    </row>
    <row r="546">
      <c r="P546" s="85"/>
    </row>
    <row r="547">
      <c r="P547" s="85"/>
    </row>
    <row r="548">
      <c r="P548" s="85"/>
    </row>
    <row r="549">
      <c r="P549" s="85"/>
    </row>
    <row r="550">
      <c r="P550" s="85"/>
    </row>
    <row r="551">
      <c r="P551" s="85"/>
    </row>
    <row r="552">
      <c r="P552" s="85"/>
    </row>
    <row r="553">
      <c r="P553" s="85"/>
    </row>
    <row r="554">
      <c r="P554" s="85"/>
    </row>
    <row r="555">
      <c r="P555" s="85"/>
    </row>
    <row r="556">
      <c r="P556" s="85"/>
    </row>
    <row r="557">
      <c r="P557" s="85"/>
    </row>
    <row r="558">
      <c r="P558" s="85"/>
    </row>
    <row r="559">
      <c r="P559" s="85"/>
    </row>
    <row r="560">
      <c r="P560" s="85"/>
    </row>
    <row r="561">
      <c r="P561" s="85"/>
    </row>
    <row r="562">
      <c r="P562" s="85"/>
    </row>
    <row r="563">
      <c r="P563" s="85"/>
    </row>
    <row r="564">
      <c r="P564" s="85"/>
    </row>
    <row r="565">
      <c r="P565" s="85"/>
    </row>
    <row r="566">
      <c r="P566" s="85"/>
    </row>
    <row r="567">
      <c r="P567" s="85"/>
    </row>
    <row r="568">
      <c r="P568" s="85"/>
    </row>
    <row r="569">
      <c r="P569" s="85"/>
    </row>
    <row r="570">
      <c r="P570" s="85"/>
    </row>
    <row r="571">
      <c r="P571" s="85"/>
    </row>
    <row r="572">
      <c r="P572" s="85"/>
    </row>
    <row r="573">
      <c r="P573" s="85"/>
    </row>
    <row r="574">
      <c r="P574" s="85"/>
    </row>
    <row r="575">
      <c r="P575" s="85"/>
    </row>
    <row r="576">
      <c r="P576" s="85"/>
    </row>
    <row r="577">
      <c r="P577" s="85"/>
    </row>
    <row r="578">
      <c r="P578" s="85"/>
    </row>
    <row r="579">
      <c r="P579" s="85"/>
    </row>
    <row r="580">
      <c r="P580" s="85"/>
    </row>
    <row r="581">
      <c r="P581" s="85"/>
    </row>
    <row r="582">
      <c r="P582" s="85"/>
    </row>
    <row r="583">
      <c r="P583" s="85"/>
    </row>
    <row r="584">
      <c r="P584" s="85"/>
    </row>
    <row r="585">
      <c r="P585" s="85"/>
    </row>
    <row r="586">
      <c r="P586" s="85"/>
    </row>
    <row r="587">
      <c r="P587" s="85"/>
    </row>
    <row r="588">
      <c r="P588" s="85"/>
    </row>
    <row r="589">
      <c r="P589" s="85"/>
    </row>
    <row r="590">
      <c r="P590" s="85"/>
    </row>
    <row r="591">
      <c r="P591" s="85"/>
    </row>
    <row r="592">
      <c r="P592" s="85"/>
    </row>
    <row r="593">
      <c r="P593" s="85"/>
    </row>
    <row r="594">
      <c r="P594" s="85"/>
    </row>
    <row r="595">
      <c r="P595" s="85"/>
    </row>
    <row r="596">
      <c r="P596" s="85"/>
    </row>
    <row r="597">
      <c r="P597" s="85"/>
    </row>
    <row r="598">
      <c r="P598" s="85"/>
    </row>
    <row r="599">
      <c r="P599" s="85"/>
    </row>
    <row r="600">
      <c r="P600" s="85"/>
    </row>
    <row r="601">
      <c r="P601" s="85"/>
    </row>
    <row r="602">
      <c r="P602" s="85"/>
    </row>
    <row r="603">
      <c r="P603" s="85"/>
    </row>
    <row r="604">
      <c r="P604" s="85"/>
    </row>
    <row r="605">
      <c r="P605" s="85"/>
    </row>
    <row r="606">
      <c r="P606" s="85"/>
    </row>
    <row r="607">
      <c r="P607" s="85"/>
    </row>
    <row r="608">
      <c r="P608" s="85"/>
    </row>
    <row r="609">
      <c r="P609" s="85"/>
    </row>
    <row r="610">
      <c r="P610" s="85"/>
    </row>
    <row r="611">
      <c r="P611" s="85"/>
    </row>
    <row r="612">
      <c r="P612" s="85"/>
    </row>
    <row r="613">
      <c r="P613" s="85"/>
    </row>
    <row r="614">
      <c r="P614" s="85"/>
    </row>
    <row r="615">
      <c r="P615" s="85"/>
    </row>
    <row r="616">
      <c r="P616" s="85"/>
    </row>
    <row r="617">
      <c r="P617" s="85"/>
    </row>
    <row r="618">
      <c r="P618" s="85"/>
    </row>
    <row r="619">
      <c r="P619" s="85"/>
    </row>
    <row r="620">
      <c r="P620" s="85"/>
    </row>
    <row r="621">
      <c r="P621" s="85"/>
    </row>
    <row r="622">
      <c r="P622" s="85"/>
    </row>
    <row r="623">
      <c r="P623" s="85"/>
    </row>
    <row r="624">
      <c r="P624" s="85"/>
    </row>
    <row r="625">
      <c r="P625" s="85"/>
    </row>
    <row r="626">
      <c r="P626" s="85"/>
    </row>
    <row r="627">
      <c r="P627" s="85"/>
    </row>
    <row r="628">
      <c r="P628" s="85"/>
    </row>
    <row r="629">
      <c r="P629" s="85"/>
    </row>
    <row r="630">
      <c r="P630" s="85"/>
    </row>
    <row r="631">
      <c r="P631" s="85"/>
    </row>
    <row r="632">
      <c r="P632" s="85"/>
    </row>
    <row r="633">
      <c r="P633" s="85"/>
    </row>
    <row r="634">
      <c r="P634" s="85"/>
    </row>
    <row r="635">
      <c r="P635" s="85"/>
    </row>
    <row r="636">
      <c r="P636" s="85"/>
    </row>
    <row r="637">
      <c r="P637" s="85"/>
    </row>
    <row r="638">
      <c r="P638" s="85"/>
    </row>
    <row r="639">
      <c r="P639" s="85"/>
    </row>
    <row r="640">
      <c r="P640" s="85"/>
    </row>
    <row r="641">
      <c r="P641" s="85"/>
    </row>
    <row r="642">
      <c r="P642" s="85"/>
    </row>
    <row r="643">
      <c r="P643" s="85"/>
    </row>
    <row r="644">
      <c r="P644" s="85"/>
    </row>
    <row r="645">
      <c r="P645" s="85"/>
    </row>
    <row r="646">
      <c r="P646" s="85"/>
    </row>
    <row r="647">
      <c r="P647" s="85"/>
    </row>
    <row r="648">
      <c r="P648" s="85"/>
    </row>
    <row r="649">
      <c r="P649" s="85"/>
    </row>
    <row r="650">
      <c r="P650" s="85"/>
    </row>
    <row r="651">
      <c r="P651" s="85"/>
    </row>
    <row r="652">
      <c r="P652" s="85"/>
    </row>
    <row r="653">
      <c r="P653" s="85"/>
    </row>
    <row r="654">
      <c r="P654" s="85"/>
    </row>
    <row r="655">
      <c r="P655" s="85"/>
    </row>
    <row r="656">
      <c r="P656" s="85"/>
    </row>
    <row r="657">
      <c r="P657" s="85"/>
    </row>
    <row r="658">
      <c r="P658" s="85"/>
    </row>
    <row r="659">
      <c r="P659" s="85"/>
    </row>
    <row r="660">
      <c r="P660" s="85"/>
    </row>
    <row r="661">
      <c r="P661" s="85"/>
    </row>
    <row r="662">
      <c r="P662" s="85"/>
    </row>
    <row r="663">
      <c r="P663" s="85"/>
    </row>
    <row r="664">
      <c r="P664" s="85"/>
    </row>
    <row r="665">
      <c r="P665" s="85"/>
    </row>
    <row r="666">
      <c r="P666" s="85"/>
    </row>
    <row r="667">
      <c r="P667" s="85"/>
    </row>
    <row r="668">
      <c r="P668" s="85"/>
    </row>
    <row r="669">
      <c r="P669" s="85"/>
    </row>
    <row r="670">
      <c r="P670" s="85"/>
    </row>
    <row r="671">
      <c r="P671" s="85"/>
    </row>
    <row r="672">
      <c r="P672" s="85"/>
    </row>
    <row r="673">
      <c r="P673" s="85"/>
    </row>
    <row r="674">
      <c r="P674" s="85"/>
    </row>
    <row r="675">
      <c r="P675" s="85"/>
    </row>
    <row r="676">
      <c r="P676" s="85"/>
    </row>
    <row r="677">
      <c r="P677" s="85"/>
    </row>
    <row r="678">
      <c r="P678" s="85"/>
    </row>
    <row r="679">
      <c r="P679" s="85"/>
    </row>
    <row r="680">
      <c r="P680" s="85"/>
    </row>
    <row r="681">
      <c r="P681" s="85"/>
    </row>
    <row r="682">
      <c r="P682" s="85"/>
    </row>
    <row r="683">
      <c r="P683" s="85"/>
    </row>
    <row r="684">
      <c r="P684" s="85"/>
    </row>
    <row r="685">
      <c r="P685" s="85"/>
    </row>
    <row r="686">
      <c r="P686" s="85"/>
    </row>
    <row r="687">
      <c r="P687" s="85"/>
    </row>
    <row r="688">
      <c r="P688" s="85"/>
    </row>
    <row r="689">
      <c r="P689" s="85"/>
    </row>
    <row r="690">
      <c r="P690" s="85"/>
    </row>
    <row r="691">
      <c r="P691" s="85"/>
    </row>
    <row r="692">
      <c r="P692" s="85"/>
    </row>
    <row r="693">
      <c r="P693" s="85"/>
    </row>
    <row r="694">
      <c r="P694" s="85"/>
    </row>
    <row r="695">
      <c r="P695" s="85"/>
    </row>
    <row r="696">
      <c r="P696" s="85"/>
    </row>
    <row r="697">
      <c r="P697" s="85"/>
    </row>
    <row r="698">
      <c r="P698" s="85"/>
    </row>
    <row r="699">
      <c r="P699" s="85"/>
    </row>
    <row r="700">
      <c r="P700" s="85"/>
    </row>
    <row r="701">
      <c r="P701" s="85"/>
    </row>
    <row r="702">
      <c r="P702" s="85"/>
    </row>
    <row r="703">
      <c r="P703" s="85"/>
    </row>
    <row r="704">
      <c r="P704" s="85"/>
    </row>
    <row r="705">
      <c r="P705" s="85"/>
    </row>
    <row r="706">
      <c r="P706" s="85"/>
    </row>
    <row r="707">
      <c r="P707" s="85"/>
    </row>
    <row r="708">
      <c r="P708" s="85"/>
    </row>
    <row r="709">
      <c r="P709" s="85"/>
    </row>
    <row r="710">
      <c r="P710" s="85"/>
    </row>
    <row r="711">
      <c r="P711" s="85"/>
    </row>
    <row r="712">
      <c r="P712" s="85"/>
    </row>
    <row r="713">
      <c r="P713" s="85"/>
    </row>
    <row r="714">
      <c r="P714" s="85"/>
    </row>
    <row r="715">
      <c r="P715" s="85"/>
    </row>
    <row r="716">
      <c r="P716" s="85"/>
    </row>
    <row r="717">
      <c r="P717" s="85"/>
    </row>
    <row r="718">
      <c r="P718" s="85"/>
    </row>
    <row r="719">
      <c r="P719" s="85"/>
    </row>
    <row r="720">
      <c r="P720" s="85"/>
    </row>
    <row r="721">
      <c r="P721" s="85"/>
    </row>
    <row r="722">
      <c r="P722" s="85"/>
    </row>
    <row r="723">
      <c r="P723" s="85"/>
    </row>
    <row r="724">
      <c r="P724" s="85"/>
    </row>
    <row r="725">
      <c r="P725" s="85"/>
    </row>
    <row r="726">
      <c r="P726" s="85"/>
    </row>
    <row r="727">
      <c r="P727" s="85"/>
    </row>
    <row r="728">
      <c r="P728" s="85"/>
    </row>
    <row r="729">
      <c r="P729" s="85"/>
    </row>
    <row r="730">
      <c r="P730" s="85"/>
    </row>
    <row r="731">
      <c r="P731" s="85"/>
    </row>
    <row r="732">
      <c r="P732" s="85"/>
    </row>
    <row r="733">
      <c r="P733" s="85"/>
    </row>
    <row r="734">
      <c r="P734" s="85"/>
    </row>
    <row r="735">
      <c r="P735" s="85"/>
    </row>
    <row r="736">
      <c r="P736" s="85"/>
    </row>
    <row r="737">
      <c r="P737" s="85"/>
    </row>
    <row r="738">
      <c r="P738" s="85"/>
    </row>
    <row r="739">
      <c r="P739" s="85"/>
    </row>
    <row r="740">
      <c r="P740" s="85"/>
    </row>
    <row r="741">
      <c r="P741" s="85"/>
    </row>
    <row r="742">
      <c r="P742" s="85"/>
    </row>
    <row r="743">
      <c r="P743" s="85"/>
    </row>
    <row r="744">
      <c r="P744" s="85"/>
    </row>
    <row r="745">
      <c r="P745" s="85"/>
    </row>
    <row r="746">
      <c r="P746" s="85"/>
    </row>
    <row r="747">
      <c r="P747" s="85"/>
    </row>
    <row r="748">
      <c r="P748" s="85"/>
    </row>
    <row r="749">
      <c r="P749" s="85"/>
    </row>
    <row r="750">
      <c r="P750" s="85"/>
    </row>
    <row r="751">
      <c r="P751" s="85"/>
    </row>
    <row r="752">
      <c r="P752" s="85"/>
    </row>
    <row r="753">
      <c r="P753" s="85"/>
    </row>
    <row r="754">
      <c r="P754" s="85"/>
    </row>
    <row r="755">
      <c r="P755" s="85"/>
    </row>
    <row r="756">
      <c r="P756" s="85"/>
    </row>
    <row r="757">
      <c r="P757" s="85"/>
    </row>
    <row r="758">
      <c r="P758" s="85"/>
    </row>
    <row r="759">
      <c r="P759" s="85"/>
    </row>
    <row r="760">
      <c r="P760" s="85"/>
    </row>
    <row r="761">
      <c r="P761" s="85"/>
    </row>
    <row r="762">
      <c r="P762" s="85"/>
    </row>
    <row r="763">
      <c r="P763" s="85"/>
    </row>
    <row r="764">
      <c r="P764" s="85"/>
    </row>
    <row r="765">
      <c r="P765" s="85"/>
    </row>
    <row r="766">
      <c r="P766" s="85"/>
    </row>
    <row r="767">
      <c r="P767" s="85"/>
    </row>
    <row r="768">
      <c r="P768" s="85"/>
    </row>
    <row r="769">
      <c r="P769" s="85"/>
    </row>
    <row r="770">
      <c r="P770" s="85"/>
    </row>
    <row r="771">
      <c r="P771" s="85"/>
    </row>
    <row r="772">
      <c r="P772" s="85"/>
    </row>
    <row r="773">
      <c r="P773" s="85"/>
    </row>
    <row r="774">
      <c r="P774" s="85"/>
    </row>
    <row r="775">
      <c r="P775" s="85"/>
    </row>
    <row r="776">
      <c r="P776" s="85"/>
    </row>
    <row r="777">
      <c r="P777" s="85"/>
    </row>
    <row r="778">
      <c r="P778" s="85"/>
    </row>
    <row r="779">
      <c r="P779" s="85"/>
    </row>
    <row r="780">
      <c r="P780" s="85"/>
    </row>
    <row r="781">
      <c r="P781" s="85"/>
    </row>
    <row r="782">
      <c r="P782" s="85"/>
    </row>
    <row r="783">
      <c r="P783" s="85"/>
    </row>
    <row r="784">
      <c r="P784" s="85"/>
    </row>
    <row r="785">
      <c r="P785" s="85"/>
    </row>
    <row r="786">
      <c r="P786" s="85"/>
    </row>
    <row r="787">
      <c r="P787" s="85"/>
    </row>
    <row r="788">
      <c r="P788" s="85"/>
    </row>
    <row r="789">
      <c r="P789" s="85"/>
    </row>
    <row r="790">
      <c r="P790" s="85"/>
    </row>
    <row r="791">
      <c r="P791" s="85"/>
    </row>
    <row r="792">
      <c r="P792" s="85"/>
    </row>
    <row r="793">
      <c r="P793" s="85"/>
    </row>
    <row r="794">
      <c r="P794" s="85"/>
    </row>
    <row r="795">
      <c r="P795" s="85"/>
    </row>
    <row r="796">
      <c r="P796" s="85"/>
    </row>
    <row r="797">
      <c r="P797" s="85"/>
    </row>
    <row r="798">
      <c r="P798" s="85"/>
    </row>
    <row r="799">
      <c r="P799" s="85"/>
    </row>
    <row r="800">
      <c r="P800" s="85"/>
    </row>
    <row r="801">
      <c r="P801" s="85"/>
    </row>
    <row r="802">
      <c r="P802" s="85"/>
    </row>
    <row r="803">
      <c r="P803" s="85"/>
    </row>
    <row r="804">
      <c r="P804" s="85"/>
    </row>
    <row r="805">
      <c r="P805" s="85"/>
    </row>
    <row r="806">
      <c r="P806" s="85"/>
    </row>
    <row r="807">
      <c r="P807" s="85"/>
    </row>
    <row r="808">
      <c r="P808" s="85"/>
    </row>
    <row r="809">
      <c r="P809" s="85"/>
    </row>
    <row r="810">
      <c r="P810" s="85"/>
    </row>
    <row r="811">
      <c r="P811" s="85"/>
    </row>
    <row r="812">
      <c r="P812" s="85"/>
    </row>
    <row r="813">
      <c r="P813" s="85"/>
    </row>
    <row r="814">
      <c r="P814" s="85"/>
    </row>
    <row r="815">
      <c r="P815" s="85"/>
    </row>
    <row r="816">
      <c r="P816" s="85"/>
    </row>
    <row r="817">
      <c r="P817" s="85"/>
    </row>
    <row r="818">
      <c r="P818" s="85"/>
    </row>
    <row r="819">
      <c r="P819" s="85"/>
    </row>
    <row r="820">
      <c r="P820" s="85"/>
    </row>
    <row r="821">
      <c r="P821" s="85"/>
    </row>
    <row r="822">
      <c r="P822" s="85"/>
    </row>
    <row r="823">
      <c r="P823" s="85"/>
    </row>
    <row r="824">
      <c r="P824" s="85"/>
    </row>
    <row r="825">
      <c r="P825" s="85"/>
    </row>
    <row r="826">
      <c r="P826" s="85"/>
    </row>
    <row r="827">
      <c r="P827" s="85"/>
    </row>
    <row r="828">
      <c r="P828" s="85"/>
    </row>
    <row r="829">
      <c r="P829" s="85"/>
    </row>
    <row r="830">
      <c r="P830" s="85"/>
    </row>
    <row r="831">
      <c r="P831" s="85"/>
    </row>
    <row r="832">
      <c r="P832" s="85"/>
    </row>
    <row r="833">
      <c r="P833" s="85"/>
    </row>
    <row r="834">
      <c r="P834" s="85"/>
    </row>
    <row r="835">
      <c r="P835" s="85"/>
    </row>
    <row r="836">
      <c r="P836" s="85"/>
    </row>
    <row r="837">
      <c r="P837" s="85"/>
    </row>
    <row r="838">
      <c r="P838" s="85"/>
    </row>
    <row r="839">
      <c r="P839" s="85"/>
    </row>
    <row r="840">
      <c r="P840" s="85"/>
    </row>
    <row r="841">
      <c r="P841" s="85"/>
    </row>
    <row r="842">
      <c r="P842" s="85"/>
    </row>
    <row r="843">
      <c r="P843" s="85"/>
    </row>
    <row r="844">
      <c r="P844" s="85"/>
    </row>
    <row r="845">
      <c r="P845" s="85"/>
    </row>
    <row r="846">
      <c r="P846" s="85"/>
    </row>
    <row r="847">
      <c r="P847" s="85"/>
    </row>
    <row r="848">
      <c r="P848" s="85"/>
    </row>
    <row r="849">
      <c r="P849" s="85"/>
    </row>
    <row r="850">
      <c r="P850" s="85"/>
    </row>
    <row r="851">
      <c r="P851" s="85"/>
    </row>
    <row r="852">
      <c r="P852" s="85"/>
    </row>
    <row r="853">
      <c r="P853" s="85"/>
    </row>
    <row r="854">
      <c r="P854" s="85"/>
    </row>
    <row r="855">
      <c r="P855" s="85"/>
    </row>
    <row r="856">
      <c r="P856" s="85"/>
    </row>
    <row r="857">
      <c r="P857" s="85"/>
    </row>
    <row r="858">
      <c r="P858" s="85"/>
    </row>
    <row r="859">
      <c r="P859" s="85"/>
    </row>
    <row r="860">
      <c r="P860" s="85"/>
    </row>
    <row r="861">
      <c r="P861" s="85"/>
    </row>
    <row r="862">
      <c r="P862" s="85"/>
    </row>
    <row r="863">
      <c r="P863" s="85"/>
    </row>
    <row r="864">
      <c r="P864" s="85"/>
    </row>
    <row r="865">
      <c r="P865" s="85"/>
    </row>
    <row r="866">
      <c r="P866" s="85"/>
    </row>
    <row r="867">
      <c r="P867" s="85"/>
    </row>
    <row r="868">
      <c r="P868" s="85"/>
    </row>
    <row r="869">
      <c r="P869" s="85"/>
    </row>
    <row r="870">
      <c r="P870" s="85"/>
    </row>
    <row r="871">
      <c r="P871" s="85"/>
    </row>
    <row r="872">
      <c r="P872" s="85"/>
    </row>
    <row r="873">
      <c r="P873" s="85"/>
    </row>
    <row r="874">
      <c r="P874" s="85"/>
    </row>
    <row r="875">
      <c r="P875" s="85"/>
    </row>
    <row r="876">
      <c r="P876" s="85"/>
    </row>
    <row r="877">
      <c r="P877" s="85"/>
    </row>
    <row r="878">
      <c r="P878" s="85"/>
    </row>
    <row r="879">
      <c r="P879" s="85"/>
    </row>
    <row r="880">
      <c r="P880" s="85"/>
    </row>
    <row r="881">
      <c r="P881" s="85"/>
    </row>
    <row r="882">
      <c r="P882" s="85"/>
    </row>
    <row r="883">
      <c r="P883" s="85"/>
    </row>
    <row r="884">
      <c r="P884" s="85"/>
    </row>
    <row r="885">
      <c r="P885" s="85"/>
    </row>
    <row r="886">
      <c r="P886" s="85"/>
    </row>
    <row r="887">
      <c r="P887" s="85"/>
    </row>
    <row r="888">
      <c r="P888" s="85"/>
    </row>
    <row r="889">
      <c r="P889" s="85"/>
    </row>
    <row r="890">
      <c r="P890" s="85"/>
    </row>
    <row r="891">
      <c r="P891" s="85"/>
    </row>
    <row r="892">
      <c r="P892" s="85"/>
    </row>
    <row r="893">
      <c r="P893" s="85"/>
    </row>
    <row r="894">
      <c r="P894" s="85"/>
    </row>
    <row r="895">
      <c r="P895" s="85"/>
    </row>
    <row r="896">
      <c r="P896" s="85"/>
    </row>
    <row r="897">
      <c r="P897" s="85"/>
    </row>
    <row r="898">
      <c r="P898" s="85"/>
    </row>
    <row r="899">
      <c r="P899" s="85"/>
    </row>
    <row r="900">
      <c r="P900" s="85"/>
    </row>
    <row r="901">
      <c r="P901" s="85"/>
    </row>
    <row r="902">
      <c r="P902" s="85"/>
    </row>
    <row r="903">
      <c r="P903" s="85"/>
    </row>
    <row r="904">
      <c r="P904" s="85"/>
    </row>
    <row r="905">
      <c r="P905" s="85"/>
    </row>
    <row r="906">
      <c r="P906" s="85"/>
    </row>
    <row r="907">
      <c r="P907" s="85"/>
    </row>
    <row r="908">
      <c r="P908" s="85"/>
    </row>
    <row r="909">
      <c r="P909" s="85"/>
    </row>
    <row r="910">
      <c r="P910" s="85"/>
    </row>
    <row r="911">
      <c r="P911" s="85"/>
    </row>
    <row r="912">
      <c r="P912" s="85"/>
    </row>
    <row r="913">
      <c r="P913" s="85"/>
    </row>
    <row r="914">
      <c r="P914" s="85"/>
    </row>
    <row r="915">
      <c r="P915" s="85"/>
    </row>
    <row r="916">
      <c r="P916" s="85"/>
    </row>
    <row r="917">
      <c r="P917" s="85"/>
    </row>
    <row r="918">
      <c r="P918" s="85"/>
    </row>
    <row r="919">
      <c r="P919" s="85"/>
    </row>
    <row r="920">
      <c r="P920" s="85"/>
    </row>
    <row r="921">
      <c r="P921" s="85"/>
    </row>
    <row r="922">
      <c r="P922" s="85"/>
    </row>
    <row r="923">
      <c r="P923" s="85"/>
    </row>
    <row r="924">
      <c r="P924" s="85"/>
    </row>
    <row r="925">
      <c r="P925" s="85"/>
    </row>
    <row r="926">
      <c r="P926" s="85"/>
    </row>
    <row r="927">
      <c r="P927" s="85"/>
    </row>
    <row r="928">
      <c r="P928" s="85"/>
    </row>
    <row r="929">
      <c r="P929" s="85"/>
    </row>
    <row r="930">
      <c r="P930" s="85"/>
    </row>
    <row r="931">
      <c r="P931" s="85"/>
    </row>
    <row r="932">
      <c r="P932" s="85"/>
    </row>
    <row r="933">
      <c r="P933" s="85"/>
    </row>
    <row r="934">
      <c r="P934" s="85"/>
    </row>
    <row r="935">
      <c r="P935" s="85"/>
    </row>
    <row r="936">
      <c r="P936" s="85"/>
    </row>
    <row r="937">
      <c r="P937" s="85"/>
    </row>
    <row r="938">
      <c r="P938" s="85"/>
    </row>
    <row r="939">
      <c r="P939" s="85"/>
    </row>
    <row r="940">
      <c r="P940" s="85"/>
    </row>
    <row r="941">
      <c r="P941" s="85"/>
    </row>
    <row r="942">
      <c r="P942" s="85"/>
    </row>
    <row r="943">
      <c r="P943" s="85"/>
    </row>
    <row r="944">
      <c r="P944" s="85"/>
    </row>
    <row r="945">
      <c r="P945" s="85"/>
    </row>
    <row r="946">
      <c r="P946" s="85"/>
    </row>
    <row r="947">
      <c r="P947" s="85"/>
    </row>
    <row r="948">
      <c r="P948" s="85"/>
    </row>
    <row r="949">
      <c r="P949" s="85"/>
    </row>
    <row r="950">
      <c r="P950" s="85"/>
    </row>
    <row r="951">
      <c r="P951" s="85"/>
    </row>
    <row r="952">
      <c r="P952" s="85"/>
    </row>
    <row r="953">
      <c r="P953" s="85"/>
    </row>
    <row r="954">
      <c r="P954" s="85"/>
    </row>
    <row r="955">
      <c r="P955" s="85"/>
    </row>
    <row r="956">
      <c r="P956" s="85"/>
    </row>
    <row r="957">
      <c r="P957" s="85"/>
    </row>
    <row r="958">
      <c r="P958" s="85"/>
    </row>
    <row r="959">
      <c r="P959" s="85"/>
    </row>
    <row r="960">
      <c r="P960" s="85"/>
    </row>
    <row r="961">
      <c r="P961" s="85"/>
    </row>
    <row r="962">
      <c r="P962" s="85"/>
    </row>
    <row r="963">
      <c r="P963" s="85"/>
    </row>
    <row r="964">
      <c r="P964" s="85"/>
    </row>
    <row r="965">
      <c r="P965" s="85"/>
    </row>
    <row r="966">
      <c r="P966" s="85"/>
    </row>
    <row r="967">
      <c r="P967" s="85"/>
    </row>
    <row r="968">
      <c r="P968" s="85"/>
    </row>
    <row r="969">
      <c r="P969" s="85"/>
    </row>
    <row r="970">
      <c r="P970" s="85"/>
    </row>
    <row r="971">
      <c r="P971" s="85"/>
    </row>
    <row r="972">
      <c r="P972" s="85"/>
    </row>
    <row r="973">
      <c r="P973" s="85"/>
    </row>
    <row r="974">
      <c r="P974" s="85"/>
    </row>
    <row r="975">
      <c r="P975" s="85"/>
    </row>
    <row r="976">
      <c r="P976" s="85"/>
    </row>
    <row r="977">
      <c r="P977" s="85"/>
    </row>
    <row r="978">
      <c r="P978" s="85"/>
    </row>
    <row r="979">
      <c r="P979" s="85"/>
    </row>
    <row r="980">
      <c r="P980" s="85"/>
    </row>
    <row r="981">
      <c r="P981" s="85"/>
    </row>
    <row r="982">
      <c r="P982" s="85"/>
    </row>
    <row r="983">
      <c r="P983" s="85"/>
    </row>
    <row r="984">
      <c r="P984" s="85"/>
    </row>
    <row r="985">
      <c r="P985" s="85"/>
    </row>
    <row r="986">
      <c r="P986" s="85"/>
    </row>
    <row r="987">
      <c r="P987" s="85"/>
    </row>
    <row r="988">
      <c r="P988" s="85"/>
    </row>
    <row r="989">
      <c r="P989" s="85"/>
    </row>
    <row r="990">
      <c r="P990" s="85"/>
    </row>
    <row r="991">
      <c r="P991" s="85"/>
    </row>
    <row r="992">
      <c r="P992" s="85"/>
    </row>
    <row r="993">
      <c r="P993" s="85"/>
    </row>
    <row r="994">
      <c r="P994" s="85"/>
    </row>
    <row r="995">
      <c r="P995" s="85"/>
    </row>
    <row r="996">
      <c r="P996" s="85"/>
    </row>
    <row r="997">
      <c r="P997" s="85"/>
    </row>
    <row r="998">
      <c r="P998" s="85"/>
    </row>
    <row r="999">
      <c r="P999" s="85"/>
    </row>
    <row r="1000">
      <c r="P1000" s="85"/>
    </row>
  </sheetData>
  <mergeCells count="8">
    <mergeCell ref="B3:C3"/>
    <mergeCell ref="F3:AE3"/>
    <mergeCell ref="AI11:AJ11"/>
    <mergeCell ref="F13:AE13"/>
    <mergeCell ref="G14:M14"/>
    <mergeCell ref="P14:V14"/>
    <mergeCell ref="Y14:AE14"/>
    <mergeCell ref="F32:AE32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9.38"/>
    <col customWidth="1" min="10" max="10" width="14.38"/>
    <col customWidth="1" min="11" max="11" width="6.63"/>
    <col customWidth="1" min="13" max="13" width="6.63"/>
    <col customWidth="1" min="15" max="15" width="6.63"/>
    <col customWidth="1" min="17" max="17" width="6.63"/>
  </cols>
  <sheetData>
    <row r="1">
      <c r="A1" s="102"/>
      <c r="B1" s="103">
        <v>44780.0</v>
      </c>
      <c r="C1" s="104">
        <v>0.8</v>
      </c>
      <c r="D1" s="105" t="s">
        <v>183</v>
      </c>
      <c r="E1" s="105" t="s">
        <v>184</v>
      </c>
      <c r="F1" s="102"/>
      <c r="G1" s="106" t="s">
        <v>185</v>
      </c>
      <c r="H1" s="106" t="s">
        <v>186</v>
      </c>
      <c r="I1" s="106" t="s">
        <v>187</v>
      </c>
    </row>
    <row r="2">
      <c r="A2" s="102" t="s">
        <v>188</v>
      </c>
      <c r="B2" s="107">
        <v>-1.9</v>
      </c>
      <c r="C2" s="108">
        <f>B2</f>
        <v>-1.9</v>
      </c>
      <c r="D2" s="109">
        <f t="shared" ref="D2:D25" si="1">ROUND(C2,0)</f>
        <v>-2</v>
      </c>
      <c r="E2" s="110">
        <f t="shared" ref="E2:E25" si="2">round(C2/2, 0)</f>
        <v>-1</v>
      </c>
      <c r="F2" s="111">
        <f>H2</f>
        <v>20</v>
      </c>
      <c r="G2" s="73">
        <f>F2-SUM(G9:G11)</f>
        <v>0</v>
      </c>
      <c r="H2" s="106">
        <v>20.0</v>
      </c>
      <c r="I2" s="106">
        <v>2.0</v>
      </c>
    </row>
    <row r="3">
      <c r="A3" s="112" t="s">
        <v>102</v>
      </c>
      <c r="B3" s="107">
        <v>3.0</v>
      </c>
      <c r="C3" s="108">
        <f t="shared" ref="C3:C14" si="3">B3*0.8</f>
        <v>2.4</v>
      </c>
      <c r="D3" s="109">
        <f t="shared" si="1"/>
        <v>2</v>
      </c>
      <c r="E3" s="110">
        <f t="shared" si="2"/>
        <v>1</v>
      </c>
      <c r="F3" s="113">
        <f>round((B3*I2), 0) + H2</f>
        <v>26</v>
      </c>
      <c r="G3" s="73">
        <f>F3-SUM(I9:I11)</f>
        <v>-3</v>
      </c>
    </row>
    <row r="4">
      <c r="A4" s="112" t="s">
        <v>103</v>
      </c>
      <c r="B4" s="107">
        <v>3.3</v>
      </c>
      <c r="C4" s="108">
        <f t="shared" si="3"/>
        <v>2.64</v>
      </c>
      <c r="D4" s="109">
        <f t="shared" si="1"/>
        <v>3</v>
      </c>
      <c r="E4" s="110">
        <f t="shared" si="2"/>
        <v>1</v>
      </c>
      <c r="F4" s="113">
        <f>round((B4*I2), 0) + H2</f>
        <v>27</v>
      </c>
      <c r="G4" s="73">
        <f>F4-SUM(K9:K11)</f>
        <v>-3</v>
      </c>
    </row>
    <row r="5">
      <c r="A5" s="112" t="s">
        <v>101</v>
      </c>
      <c r="B5" s="107">
        <v>5.3</v>
      </c>
      <c r="C5" s="108">
        <f t="shared" si="3"/>
        <v>4.24</v>
      </c>
      <c r="D5" s="109">
        <f t="shared" si="1"/>
        <v>4</v>
      </c>
      <c r="E5" s="110">
        <f t="shared" si="2"/>
        <v>2</v>
      </c>
      <c r="F5" s="113">
        <f>round((B5*I2), 0) + H2</f>
        <v>31</v>
      </c>
      <c r="G5" s="73">
        <f>F5-SUM(M9:M11)</f>
        <v>-5</v>
      </c>
    </row>
    <row r="6">
      <c r="A6" s="112" t="s">
        <v>123</v>
      </c>
      <c r="B6" s="107">
        <v>7.1</v>
      </c>
      <c r="C6" s="108">
        <f t="shared" si="3"/>
        <v>5.68</v>
      </c>
      <c r="D6" s="109">
        <f t="shared" si="1"/>
        <v>6</v>
      </c>
      <c r="E6" s="110">
        <f t="shared" si="2"/>
        <v>3</v>
      </c>
      <c r="F6" s="113">
        <f>round((B6*I2), 0) + H2</f>
        <v>34</v>
      </c>
      <c r="G6" s="73">
        <f>F6-SUM(O9:O11)</f>
        <v>-7</v>
      </c>
    </row>
    <row r="7">
      <c r="A7" s="114" t="s">
        <v>158</v>
      </c>
      <c r="B7" s="115">
        <v>8.0</v>
      </c>
      <c r="C7" s="108">
        <f t="shared" si="3"/>
        <v>6.4</v>
      </c>
      <c r="D7" s="109">
        <f t="shared" si="1"/>
        <v>6</v>
      </c>
      <c r="E7" s="110">
        <f t="shared" si="2"/>
        <v>3</v>
      </c>
      <c r="F7" s="113">
        <f>round((B7*I2), 0) + H2</f>
        <v>36</v>
      </c>
      <c r="G7" s="73">
        <f>F7-SUM(Q9:Q11)</f>
        <v>-8</v>
      </c>
    </row>
    <row r="8">
      <c r="A8" s="114" t="s">
        <v>189</v>
      </c>
      <c r="B8" s="115">
        <v>7.9</v>
      </c>
      <c r="C8" s="108">
        <f t="shared" si="3"/>
        <v>6.32</v>
      </c>
      <c r="D8" s="109">
        <f t="shared" si="1"/>
        <v>6</v>
      </c>
      <c r="E8" s="110">
        <f t="shared" si="2"/>
        <v>3</v>
      </c>
      <c r="F8" s="116"/>
      <c r="G8" s="117"/>
      <c r="H8" s="118" t="s">
        <v>188</v>
      </c>
      <c r="I8" s="118"/>
      <c r="J8" s="118" t="s">
        <v>102</v>
      </c>
      <c r="K8" s="118"/>
      <c r="L8" s="118" t="s">
        <v>103</v>
      </c>
      <c r="M8" s="118"/>
      <c r="N8" s="118" t="s">
        <v>101</v>
      </c>
      <c r="O8" s="118"/>
      <c r="P8" s="118" t="s">
        <v>123</v>
      </c>
      <c r="Q8" s="118"/>
      <c r="R8" s="118" t="s">
        <v>158</v>
      </c>
    </row>
    <row r="9">
      <c r="A9" s="112" t="s">
        <v>162</v>
      </c>
      <c r="B9" s="107">
        <v>8.6</v>
      </c>
      <c r="C9" s="108">
        <f t="shared" si="3"/>
        <v>6.88</v>
      </c>
      <c r="D9" s="109">
        <f t="shared" si="1"/>
        <v>7</v>
      </c>
      <c r="E9" s="110">
        <f t="shared" si="2"/>
        <v>3</v>
      </c>
      <c r="F9" s="102"/>
      <c r="G9" s="106">
        <v>18.0</v>
      </c>
      <c r="H9" s="106" t="s">
        <v>136</v>
      </c>
      <c r="I9" s="106">
        <v>20.0</v>
      </c>
      <c r="J9" s="106" t="s">
        <v>146</v>
      </c>
      <c r="K9" s="106">
        <v>20.0</v>
      </c>
      <c r="L9" s="106" t="s">
        <v>127</v>
      </c>
      <c r="M9" s="106">
        <v>20.0</v>
      </c>
      <c r="N9" s="106" t="s">
        <v>104</v>
      </c>
      <c r="O9" s="106">
        <v>21.0</v>
      </c>
      <c r="P9" s="106" t="s">
        <v>189</v>
      </c>
      <c r="Q9" s="106">
        <v>24.0</v>
      </c>
      <c r="R9" s="106" t="s">
        <v>133</v>
      </c>
    </row>
    <row r="10">
      <c r="A10" s="112" t="s">
        <v>104</v>
      </c>
      <c r="B10" s="107">
        <v>10.0</v>
      </c>
      <c r="C10" s="108">
        <f t="shared" si="3"/>
        <v>8</v>
      </c>
      <c r="D10" s="109">
        <f t="shared" si="1"/>
        <v>8</v>
      </c>
      <c r="E10" s="110">
        <f t="shared" si="2"/>
        <v>4</v>
      </c>
      <c r="F10" s="102"/>
      <c r="G10" s="106">
        <v>1.0</v>
      </c>
      <c r="H10" s="106" t="s">
        <v>168</v>
      </c>
      <c r="I10" s="106">
        <v>7.0</v>
      </c>
      <c r="J10" s="106" t="s">
        <v>140</v>
      </c>
      <c r="K10" s="106">
        <v>9.0</v>
      </c>
      <c r="L10" s="106" t="s">
        <v>190</v>
      </c>
      <c r="M10" s="106">
        <v>10.0</v>
      </c>
      <c r="N10" s="106" t="s">
        <v>191</v>
      </c>
      <c r="O10" s="106">
        <v>12.0</v>
      </c>
      <c r="P10" s="106" t="s">
        <v>162</v>
      </c>
      <c r="Q10" s="106">
        <v>13.0</v>
      </c>
      <c r="R10" s="106" t="s">
        <v>139</v>
      </c>
    </row>
    <row r="11">
      <c r="A11" s="112" t="s">
        <v>136</v>
      </c>
      <c r="B11" s="107">
        <v>10.1</v>
      </c>
      <c r="C11" s="108">
        <f t="shared" si="3"/>
        <v>8.08</v>
      </c>
      <c r="D11" s="109">
        <f t="shared" si="1"/>
        <v>8</v>
      </c>
      <c r="E11" s="110">
        <f t="shared" si="2"/>
        <v>4</v>
      </c>
      <c r="F11" s="102"/>
      <c r="G11" s="106">
        <v>1.0</v>
      </c>
      <c r="H11" s="106" t="s">
        <v>165</v>
      </c>
      <c r="I11" s="106">
        <v>2.0</v>
      </c>
      <c r="J11" s="106" t="s">
        <v>192</v>
      </c>
      <c r="K11" s="106">
        <v>1.0</v>
      </c>
      <c r="L11" s="106" t="s">
        <v>152</v>
      </c>
      <c r="M11" s="106">
        <v>6.0</v>
      </c>
      <c r="N11" s="106" t="s">
        <v>193</v>
      </c>
      <c r="O11" s="106">
        <v>8.0</v>
      </c>
      <c r="P11" s="106" t="s">
        <v>194</v>
      </c>
      <c r="Q11" s="106">
        <v>7.0</v>
      </c>
      <c r="R11" s="106" t="s">
        <v>149</v>
      </c>
    </row>
    <row r="12">
      <c r="A12" s="112" t="s">
        <v>133</v>
      </c>
      <c r="B12" s="107">
        <v>10.3</v>
      </c>
      <c r="C12" s="108">
        <f t="shared" si="3"/>
        <v>8.24</v>
      </c>
      <c r="D12" s="109">
        <f t="shared" si="1"/>
        <v>8</v>
      </c>
      <c r="E12" s="110">
        <f t="shared" si="2"/>
        <v>4</v>
      </c>
      <c r="F12" s="102"/>
    </row>
    <row r="13">
      <c r="A13" s="112" t="s">
        <v>146</v>
      </c>
      <c r="B13" s="107">
        <v>10.4</v>
      </c>
      <c r="C13" s="108">
        <f t="shared" si="3"/>
        <v>8.32</v>
      </c>
      <c r="D13" s="109">
        <f t="shared" si="1"/>
        <v>8</v>
      </c>
      <c r="E13" s="110">
        <f t="shared" si="2"/>
        <v>4</v>
      </c>
      <c r="F13" s="102"/>
    </row>
    <row r="14">
      <c r="A14" s="112" t="s">
        <v>127</v>
      </c>
      <c r="B14" s="107">
        <v>10.7</v>
      </c>
      <c r="C14" s="108">
        <f t="shared" si="3"/>
        <v>8.56</v>
      </c>
      <c r="D14" s="109">
        <f t="shared" si="1"/>
        <v>9</v>
      </c>
      <c r="E14" s="110">
        <f t="shared" si="2"/>
        <v>4</v>
      </c>
      <c r="F14" s="102"/>
      <c r="H14" s="119" t="s">
        <v>195</v>
      </c>
      <c r="I14" s="119" t="s">
        <v>196</v>
      </c>
    </row>
    <row r="15">
      <c r="A15" s="112" t="s">
        <v>193</v>
      </c>
      <c r="B15" s="107">
        <v>12.0</v>
      </c>
      <c r="C15" s="108">
        <f t="shared" ref="C15:C22" si="4">B16*0.8</f>
        <v>10.32</v>
      </c>
      <c r="D15" s="109">
        <f t="shared" si="1"/>
        <v>10</v>
      </c>
      <c r="E15" s="110">
        <f t="shared" si="2"/>
        <v>5</v>
      </c>
      <c r="F15" s="102"/>
      <c r="H15" s="120" t="s">
        <v>197</v>
      </c>
      <c r="I15" s="120" t="s">
        <v>198</v>
      </c>
      <c r="J15" s="120" t="s">
        <v>199</v>
      </c>
    </row>
    <row r="16">
      <c r="A16" s="112" t="s">
        <v>194</v>
      </c>
      <c r="B16" s="107">
        <v>12.9</v>
      </c>
      <c r="C16" s="108">
        <f t="shared" si="4"/>
        <v>11.84</v>
      </c>
      <c r="D16" s="109">
        <f t="shared" si="1"/>
        <v>12</v>
      </c>
      <c r="E16" s="110">
        <f t="shared" si="2"/>
        <v>6</v>
      </c>
      <c r="F16" s="102"/>
      <c r="G16" s="121" t="s">
        <v>188</v>
      </c>
      <c r="H16" s="107">
        <v>-1.9</v>
      </c>
      <c r="I16" s="122">
        <v>20.0</v>
      </c>
      <c r="J16" s="123">
        <f t="shared" ref="J16:J17" si="5">I16</f>
        <v>20</v>
      </c>
    </row>
    <row r="17">
      <c r="A17" s="112" t="s">
        <v>139</v>
      </c>
      <c r="B17" s="107">
        <v>14.8</v>
      </c>
      <c r="C17" s="108">
        <f t="shared" si="4"/>
        <v>11.92</v>
      </c>
      <c r="D17" s="109">
        <f t="shared" si="1"/>
        <v>12</v>
      </c>
      <c r="E17" s="110">
        <f t="shared" si="2"/>
        <v>6</v>
      </c>
      <c r="F17" s="102"/>
      <c r="G17" s="124" t="s">
        <v>102</v>
      </c>
      <c r="H17" s="107">
        <v>3.0</v>
      </c>
      <c r="I17" s="125">
        <f t="shared" ref="I17:I21" si="6">Round((H17*2), 0) + 20</f>
        <v>26</v>
      </c>
      <c r="J17" s="123">
        <f t="shared" si="5"/>
        <v>26</v>
      </c>
    </row>
    <row r="18">
      <c r="A18" s="112" t="s">
        <v>191</v>
      </c>
      <c r="B18" s="107">
        <v>14.9</v>
      </c>
      <c r="C18" s="108">
        <f t="shared" si="4"/>
        <v>11.92</v>
      </c>
      <c r="D18" s="109">
        <f t="shared" si="1"/>
        <v>12</v>
      </c>
      <c r="E18" s="110">
        <f t="shared" si="2"/>
        <v>6</v>
      </c>
      <c r="F18" s="102"/>
      <c r="G18" s="124" t="s">
        <v>103</v>
      </c>
      <c r="H18" s="107">
        <v>3.3</v>
      </c>
      <c r="I18" s="125">
        <f t="shared" si="6"/>
        <v>27</v>
      </c>
      <c r="J18" s="126">
        <v>26.0</v>
      </c>
    </row>
    <row r="19">
      <c r="A19" s="112" t="s">
        <v>140</v>
      </c>
      <c r="B19" s="107">
        <v>14.9</v>
      </c>
      <c r="C19" s="108">
        <f t="shared" si="4"/>
        <v>12.48</v>
      </c>
      <c r="D19" s="109">
        <f t="shared" si="1"/>
        <v>12</v>
      </c>
      <c r="E19" s="110">
        <f t="shared" si="2"/>
        <v>6</v>
      </c>
      <c r="F19" s="102"/>
      <c r="G19" s="124" t="s">
        <v>101</v>
      </c>
      <c r="H19" s="107">
        <v>5.3</v>
      </c>
      <c r="I19" s="125">
        <f t="shared" si="6"/>
        <v>31</v>
      </c>
      <c r="J19" s="123">
        <f t="shared" ref="J19:J21" si="7">I19</f>
        <v>31</v>
      </c>
    </row>
    <row r="20">
      <c r="A20" s="112" t="s">
        <v>190</v>
      </c>
      <c r="B20" s="107">
        <v>15.6</v>
      </c>
      <c r="C20" s="108">
        <f t="shared" si="4"/>
        <v>13.68</v>
      </c>
      <c r="D20" s="109">
        <f t="shared" si="1"/>
        <v>14</v>
      </c>
      <c r="E20" s="110">
        <f t="shared" si="2"/>
        <v>7</v>
      </c>
      <c r="F20" s="102"/>
      <c r="G20" s="124" t="s">
        <v>123</v>
      </c>
      <c r="H20" s="107">
        <v>7.1</v>
      </c>
      <c r="I20" s="125">
        <f t="shared" si="6"/>
        <v>34</v>
      </c>
      <c r="J20" s="123">
        <f t="shared" si="7"/>
        <v>34</v>
      </c>
    </row>
    <row r="21">
      <c r="A21" s="112" t="s">
        <v>192</v>
      </c>
      <c r="B21" s="107">
        <v>17.1</v>
      </c>
      <c r="C21" s="108">
        <f t="shared" si="4"/>
        <v>13.76</v>
      </c>
      <c r="D21" s="109">
        <f t="shared" si="1"/>
        <v>14</v>
      </c>
      <c r="E21" s="110">
        <f t="shared" si="2"/>
        <v>7</v>
      </c>
      <c r="F21" s="102"/>
      <c r="G21" s="127" t="s">
        <v>158</v>
      </c>
      <c r="H21" s="115">
        <v>8.0</v>
      </c>
      <c r="I21" s="125">
        <f t="shared" si="6"/>
        <v>36</v>
      </c>
      <c r="J21" s="123">
        <f t="shared" si="7"/>
        <v>36</v>
      </c>
    </row>
    <row r="22">
      <c r="A22" s="102" t="s">
        <v>149</v>
      </c>
      <c r="B22" s="107">
        <v>17.2</v>
      </c>
      <c r="C22" s="108">
        <f t="shared" si="4"/>
        <v>16</v>
      </c>
      <c r="D22" s="109">
        <f t="shared" si="1"/>
        <v>16</v>
      </c>
      <c r="E22" s="110">
        <f t="shared" si="2"/>
        <v>8</v>
      </c>
      <c r="F22" s="102"/>
    </row>
    <row r="23">
      <c r="A23" s="102" t="s">
        <v>152</v>
      </c>
      <c r="B23" s="107">
        <v>20.0</v>
      </c>
      <c r="C23" s="108">
        <f t="shared" ref="C23:C25" si="8">B23*0.8</f>
        <v>16</v>
      </c>
      <c r="D23" s="109">
        <f t="shared" si="1"/>
        <v>16</v>
      </c>
      <c r="E23" s="110">
        <f t="shared" si="2"/>
        <v>8</v>
      </c>
      <c r="F23" s="102"/>
    </row>
    <row r="24">
      <c r="A24" s="112" t="s">
        <v>200</v>
      </c>
      <c r="B24" s="107">
        <v>20.9</v>
      </c>
      <c r="C24" s="108">
        <f t="shared" si="8"/>
        <v>16.72</v>
      </c>
      <c r="D24" s="109">
        <f t="shared" si="1"/>
        <v>17</v>
      </c>
      <c r="E24" s="110">
        <f t="shared" si="2"/>
        <v>8</v>
      </c>
      <c r="F24" s="102"/>
    </row>
    <row r="25">
      <c r="A25" s="112" t="s">
        <v>165</v>
      </c>
      <c r="B25" s="107">
        <v>21.4</v>
      </c>
      <c r="C25" s="108">
        <f t="shared" si="8"/>
        <v>17.12</v>
      </c>
      <c r="D25" s="109">
        <f t="shared" si="1"/>
        <v>17</v>
      </c>
      <c r="E25" s="110">
        <f t="shared" si="2"/>
        <v>9</v>
      </c>
      <c r="F25" s="10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4.0"/>
    <col customWidth="1" min="3" max="3" width="11.0"/>
    <col customWidth="1" min="4" max="4" width="3.88"/>
    <col customWidth="1" min="5" max="5" width="2.0"/>
    <col customWidth="1" min="6" max="6" width="7.63"/>
    <col customWidth="1" min="7" max="7" width="9.38"/>
    <col customWidth="1" min="8" max="8" width="1.75"/>
    <col customWidth="1" min="9" max="9" width="9.25"/>
    <col customWidth="1" min="10" max="10" width="2.88"/>
    <col customWidth="1" min="11" max="11" width="10.75"/>
    <col customWidth="1" min="12" max="12" width="1.75"/>
    <col customWidth="1" min="13" max="13" width="10.75"/>
    <col customWidth="1" min="14" max="14" width="2.13"/>
    <col customWidth="1" min="15" max="15" width="3.88"/>
    <col customWidth="1" min="16" max="16" width="9.38"/>
    <col customWidth="1" min="17" max="17" width="1.75"/>
    <col customWidth="1" min="18" max="18" width="8.5"/>
    <col customWidth="1" min="19" max="19" width="2.88"/>
    <col customWidth="1" min="20" max="20" width="9.25"/>
    <col customWidth="1" min="21" max="21" width="1.75"/>
    <col customWidth="1" min="22" max="22" width="10.75"/>
    <col customWidth="1" min="23" max="23" width="2.0"/>
    <col customWidth="1" min="24" max="24" width="3.13"/>
    <col customWidth="1" min="25" max="25" width="9.38"/>
    <col customWidth="1" min="26" max="26" width="1.75"/>
    <col customWidth="1" min="27" max="27" width="10.75"/>
    <col customWidth="1" min="28" max="28" width="3.0"/>
    <col customWidth="1" min="29" max="29" width="8.5"/>
    <col customWidth="1" min="30" max="30" width="1.75"/>
    <col customWidth="1" min="31" max="31" width="9.25"/>
    <col customWidth="1" min="32" max="32" width="5.88"/>
    <col customWidth="1" min="33" max="40" width="7.63"/>
  </cols>
  <sheetData>
    <row r="1">
      <c r="P1" s="85"/>
    </row>
    <row r="2">
      <c r="P2" s="85"/>
    </row>
    <row r="3">
      <c r="B3" s="86" t="s">
        <v>94</v>
      </c>
      <c r="C3" s="87"/>
      <c r="F3" s="86" t="s">
        <v>201</v>
      </c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J3" s="89" t="s">
        <v>97</v>
      </c>
    </row>
    <row r="4">
      <c r="B4" s="64" t="s">
        <v>98</v>
      </c>
      <c r="C4" s="64" t="s">
        <v>99</v>
      </c>
      <c r="F4" s="91"/>
      <c r="G4" s="128" t="s">
        <v>202</v>
      </c>
      <c r="H4" s="93"/>
      <c r="I4" s="93"/>
      <c r="J4" s="93"/>
      <c r="K4" s="93"/>
      <c r="L4" s="93"/>
      <c r="M4" s="93"/>
      <c r="N4" s="91"/>
      <c r="O4" s="91"/>
      <c r="P4" s="128" t="s">
        <v>203</v>
      </c>
      <c r="Q4" s="93"/>
      <c r="R4" s="93"/>
      <c r="S4" s="93"/>
      <c r="T4" s="93"/>
      <c r="U4" s="93"/>
      <c r="V4" s="93"/>
      <c r="W4" s="91"/>
      <c r="X4" s="91"/>
      <c r="Y4" s="128" t="s">
        <v>204</v>
      </c>
      <c r="Z4" s="93"/>
      <c r="AA4" s="93"/>
      <c r="AB4" s="93"/>
      <c r="AC4" s="93"/>
      <c r="AD4" s="93"/>
      <c r="AE4" s="93"/>
      <c r="AH4" s="73" t="s">
        <v>100</v>
      </c>
      <c r="AJ4" s="73" t="s">
        <v>101</v>
      </c>
      <c r="AK4" s="73">
        <v>1.0</v>
      </c>
      <c r="AL4" s="73" t="s">
        <v>102</v>
      </c>
      <c r="AM4" s="73" t="s">
        <v>103</v>
      </c>
      <c r="AN4" s="73" t="s">
        <v>104</v>
      </c>
    </row>
    <row r="5">
      <c r="B5" s="64" t="s">
        <v>105</v>
      </c>
      <c r="C5" s="64" t="s">
        <v>106</v>
      </c>
      <c r="F5" s="94"/>
      <c r="G5" s="64" t="str">
        <f>WhiteP1</f>
        <v>Rob (W)</v>
      </c>
      <c r="H5" s="73" t="s">
        <v>49</v>
      </c>
      <c r="I5" s="60" t="str">
        <f>BlackP1</f>
        <v>Mitch (A)</v>
      </c>
      <c r="K5" s="62" t="str">
        <f>BlueP1</f>
        <v>Will (B)</v>
      </c>
      <c r="L5" s="73" t="s">
        <v>49</v>
      </c>
      <c r="M5" s="70" t="str">
        <f>RedP1</f>
        <v>Troy (R)</v>
      </c>
      <c r="N5" s="95"/>
      <c r="O5" s="94"/>
      <c r="P5" s="64" t="str">
        <f>C4</f>
        <v>Rob (W)</v>
      </c>
      <c r="Q5" s="73" t="s">
        <v>49</v>
      </c>
      <c r="R5" s="70" t="str">
        <f>M5</f>
        <v>Troy (R)</v>
      </c>
      <c r="T5" s="60" t="str">
        <f>C11</f>
        <v>Mitch (A)</v>
      </c>
      <c r="U5" s="73" t="s">
        <v>49</v>
      </c>
      <c r="V5" s="62" t="str">
        <f>K5</f>
        <v>Will (B)</v>
      </c>
      <c r="W5" s="95"/>
      <c r="X5" s="96"/>
      <c r="Y5" s="64" t="str">
        <f>P5</f>
        <v>Rob (W)</v>
      </c>
      <c r="Z5" s="73" t="s">
        <v>49</v>
      </c>
      <c r="AA5" s="62" t="str">
        <f>V5</f>
        <v>Will (B)</v>
      </c>
      <c r="AC5" s="70" t="str">
        <f>R5</f>
        <v>Troy (R)</v>
      </c>
      <c r="AD5" s="73" t="s">
        <v>49</v>
      </c>
      <c r="AE5" s="60" t="str">
        <f>T5</f>
        <v>Mitch (A)</v>
      </c>
      <c r="AH5" s="73" t="s">
        <v>107</v>
      </c>
      <c r="AJ5" s="73" t="s">
        <v>103</v>
      </c>
      <c r="AK5" s="73">
        <v>2.0</v>
      </c>
      <c r="AL5" s="73" t="s">
        <v>104</v>
      </c>
      <c r="AM5" s="73" t="s">
        <v>101</v>
      </c>
      <c r="AN5" s="73" t="s">
        <v>102</v>
      </c>
    </row>
    <row r="6">
      <c r="B6" s="64" t="s">
        <v>108</v>
      </c>
      <c r="C6" s="64" t="s">
        <v>205</v>
      </c>
      <c r="F6" s="94"/>
      <c r="G6" s="64"/>
      <c r="N6" s="95"/>
      <c r="O6" s="94"/>
      <c r="P6" s="64"/>
      <c r="W6" s="95"/>
      <c r="X6" s="96"/>
      <c r="Y6" s="64"/>
      <c r="AH6" s="73" t="s">
        <v>110</v>
      </c>
      <c r="AJ6" s="73" t="s">
        <v>104</v>
      </c>
      <c r="AK6" s="73">
        <v>3.0</v>
      </c>
      <c r="AL6" s="73" t="s">
        <v>103</v>
      </c>
      <c r="AM6" s="73" t="s">
        <v>102</v>
      </c>
      <c r="AN6" s="73" t="s">
        <v>101</v>
      </c>
    </row>
    <row r="7">
      <c r="B7" s="64" t="s">
        <v>111</v>
      </c>
      <c r="C7" s="64" t="s">
        <v>206</v>
      </c>
      <c r="F7" s="94"/>
      <c r="G7" s="64"/>
      <c r="N7" s="95"/>
      <c r="O7" s="94"/>
      <c r="P7" s="64"/>
      <c r="W7" s="95"/>
      <c r="X7" s="96"/>
      <c r="Y7" s="64"/>
      <c r="AH7" s="73" t="s">
        <v>113</v>
      </c>
      <c r="AJ7" s="73" t="s">
        <v>102</v>
      </c>
      <c r="AK7" s="73">
        <v>4.0</v>
      </c>
      <c r="AL7" s="73" t="s">
        <v>101</v>
      </c>
      <c r="AM7" s="73" t="s">
        <v>104</v>
      </c>
      <c r="AN7" s="73" t="s">
        <v>103</v>
      </c>
    </row>
    <row r="8">
      <c r="B8" s="64" t="s">
        <v>114</v>
      </c>
      <c r="C8" s="64" t="s">
        <v>207</v>
      </c>
      <c r="F8" s="94"/>
      <c r="G8" s="64" t="str">
        <f>WhiteP2</f>
        <v>Dutch (W)</v>
      </c>
      <c r="H8" s="73" t="s">
        <v>49</v>
      </c>
      <c r="I8" s="70" t="str">
        <f>RedP2</f>
        <v>Ryan (R)</v>
      </c>
      <c r="K8" s="60" t="str">
        <f>BlackP2</f>
        <v>Rocky (A)</v>
      </c>
      <c r="L8" s="73" t="s">
        <v>49</v>
      </c>
      <c r="M8" s="62" t="str">
        <f>BlueP2</f>
        <v>Miller (B)</v>
      </c>
      <c r="N8" s="98"/>
      <c r="O8" s="94"/>
      <c r="P8" s="64" t="str">
        <f>G8</f>
        <v>Dutch (W)</v>
      </c>
      <c r="Q8" s="73" t="s">
        <v>49</v>
      </c>
      <c r="R8" s="62" t="str">
        <f>M8</f>
        <v>Miller (B)</v>
      </c>
      <c r="T8" s="70" t="str">
        <f>I8</f>
        <v>Ryan (R)</v>
      </c>
      <c r="U8" s="73" t="s">
        <v>49</v>
      </c>
      <c r="V8" s="60" t="str">
        <f>K8</f>
        <v>Rocky (A)</v>
      </c>
      <c r="W8" s="98"/>
      <c r="X8" s="96"/>
      <c r="Y8" s="64" t="str">
        <f>P8</f>
        <v>Dutch (W)</v>
      </c>
      <c r="Z8" s="73" t="s">
        <v>49</v>
      </c>
      <c r="AA8" s="60" t="str">
        <f>V8</f>
        <v>Rocky (A)</v>
      </c>
      <c r="AC8" s="62" t="str">
        <f>R8</f>
        <v>Miller (B)</v>
      </c>
      <c r="AD8" s="73" t="s">
        <v>49</v>
      </c>
      <c r="AE8" s="70" t="str">
        <f>T8</f>
        <v>Ryan (R)</v>
      </c>
    </row>
    <row r="9">
      <c r="B9" s="64" t="s">
        <v>116</v>
      </c>
      <c r="C9" s="129" t="s">
        <v>208</v>
      </c>
      <c r="F9" s="94"/>
      <c r="G9" s="64"/>
      <c r="N9" s="98"/>
      <c r="O9" s="94"/>
      <c r="P9" s="64"/>
      <c r="W9" s="98"/>
      <c r="X9" s="96"/>
      <c r="Y9" s="64"/>
    </row>
    <row r="10">
      <c r="F10" s="94"/>
      <c r="G10" s="64"/>
      <c r="N10" s="98"/>
      <c r="O10" s="94"/>
      <c r="P10" s="64"/>
      <c r="W10" s="98"/>
      <c r="X10" s="96"/>
      <c r="Y10" s="64"/>
    </row>
    <row r="11">
      <c r="B11" s="60" t="s">
        <v>118</v>
      </c>
      <c r="C11" s="60" t="s">
        <v>119</v>
      </c>
      <c r="F11" s="100"/>
      <c r="G11" s="64" t="str">
        <f>WhiteP3</f>
        <v>Adam (W)</v>
      </c>
      <c r="H11" s="73" t="s">
        <v>49</v>
      </c>
      <c r="I11" s="62" t="str">
        <f>BlueP3</f>
        <v>Joe (B)</v>
      </c>
      <c r="K11" s="70" t="str">
        <f>RedP3</f>
        <v>Tyler (R)</v>
      </c>
      <c r="L11" s="73" t="s">
        <v>49</v>
      </c>
      <c r="M11" s="60" t="str">
        <f>BlackP3</f>
        <v>Andy (A)</v>
      </c>
      <c r="O11" s="94"/>
      <c r="P11" s="64" t="str">
        <f>G11</f>
        <v>Adam (W)</v>
      </c>
      <c r="Q11" s="73" t="s">
        <v>49</v>
      </c>
      <c r="R11" s="60" t="str">
        <f>M11</f>
        <v>Andy (A)</v>
      </c>
      <c r="T11" s="62" t="str">
        <f>I11</f>
        <v>Joe (B)</v>
      </c>
      <c r="U11" s="73" t="s">
        <v>49</v>
      </c>
      <c r="V11" s="70" t="str">
        <f>K11</f>
        <v>Tyler (R)</v>
      </c>
      <c r="X11" s="96"/>
      <c r="Y11" s="64" t="str">
        <f>P11</f>
        <v>Adam (W)</v>
      </c>
      <c r="Z11" s="73" t="s">
        <v>49</v>
      </c>
      <c r="AA11" s="70" t="str">
        <f>V11</f>
        <v>Tyler (R)</v>
      </c>
      <c r="AC11" s="60" t="str">
        <f>R11</f>
        <v>Andy (A)</v>
      </c>
      <c r="AD11" s="73" t="s">
        <v>49</v>
      </c>
      <c r="AE11" s="62" t="str">
        <f>T11</f>
        <v>Joe (B)</v>
      </c>
      <c r="AI11" s="90" t="s">
        <v>120</v>
      </c>
    </row>
    <row r="12">
      <c r="B12" s="60" t="s">
        <v>121</v>
      </c>
      <c r="C12" s="60" t="s">
        <v>209</v>
      </c>
      <c r="G12" s="64"/>
      <c r="O12" s="94"/>
      <c r="P12" s="64"/>
      <c r="X12" s="96"/>
      <c r="Y12" s="64"/>
      <c r="AH12" s="73">
        <v>1.0</v>
      </c>
      <c r="AI12" s="73" t="s">
        <v>101</v>
      </c>
      <c r="AJ12" s="73" t="s">
        <v>123</v>
      </c>
    </row>
    <row r="13">
      <c r="B13" s="60" t="s">
        <v>124</v>
      </c>
      <c r="C13" s="60" t="s">
        <v>210</v>
      </c>
      <c r="G13" s="64"/>
      <c r="O13" s="94"/>
      <c r="P13" s="64"/>
      <c r="X13" s="96"/>
      <c r="Y13" s="64"/>
      <c r="AH13" s="73">
        <v>2.0</v>
      </c>
      <c r="AI13" s="73" t="s">
        <v>103</v>
      </c>
      <c r="AJ13" s="73" t="s">
        <v>127</v>
      </c>
    </row>
    <row r="14">
      <c r="B14" s="60" t="s">
        <v>128</v>
      </c>
      <c r="C14" s="60" t="s">
        <v>138</v>
      </c>
      <c r="G14" s="64" t="str">
        <f>WhiteP4</f>
        <v>Chad (W)</v>
      </c>
      <c r="H14" s="73" t="s">
        <v>49</v>
      </c>
      <c r="I14" s="60" t="str">
        <f>BlackP4</f>
        <v>Paul (A)</v>
      </c>
      <c r="K14" s="62" t="str">
        <f>BlueP4</f>
        <v>Kelly (B)</v>
      </c>
      <c r="L14" s="73" t="s">
        <v>49</v>
      </c>
      <c r="M14" s="70" t="str">
        <f>RedP4</f>
        <v>Riley (R)</v>
      </c>
      <c r="N14" s="95"/>
      <c r="O14" s="94"/>
      <c r="P14" s="64" t="str">
        <f>G14</f>
        <v>Chad (W)</v>
      </c>
      <c r="Q14" s="73" t="s">
        <v>49</v>
      </c>
      <c r="R14" s="70" t="str">
        <f>M14</f>
        <v>Riley (R)</v>
      </c>
      <c r="T14" s="60" t="str">
        <f>I14</f>
        <v>Paul (A)</v>
      </c>
      <c r="U14" s="73" t="s">
        <v>49</v>
      </c>
      <c r="V14" s="62" t="str">
        <f>K14</f>
        <v>Kelly (B)</v>
      </c>
      <c r="W14" s="95"/>
      <c r="X14" s="96"/>
      <c r="Y14" s="64" t="str">
        <f>P14</f>
        <v>Chad (W)</v>
      </c>
      <c r="Z14" s="73" t="s">
        <v>49</v>
      </c>
      <c r="AA14" s="62" t="str">
        <f>V14</f>
        <v>Kelly (B)</v>
      </c>
      <c r="AC14" s="70" t="str">
        <f>R14</f>
        <v>Riley (R)</v>
      </c>
      <c r="AD14" s="73" t="s">
        <v>49</v>
      </c>
      <c r="AE14" s="60" t="str">
        <f>T14</f>
        <v>Paul (A)</v>
      </c>
      <c r="AH14" s="73">
        <v>3.0</v>
      </c>
      <c r="AI14" s="73" t="s">
        <v>104</v>
      </c>
      <c r="AJ14" s="73" t="s">
        <v>133</v>
      </c>
    </row>
    <row r="15">
      <c r="B15" s="60" t="s">
        <v>134</v>
      </c>
      <c r="C15" s="81" t="s">
        <v>211</v>
      </c>
      <c r="G15" s="64"/>
      <c r="N15" s="95"/>
      <c r="O15" s="94"/>
      <c r="P15" s="64"/>
      <c r="W15" s="95"/>
      <c r="X15" s="96"/>
      <c r="Y15" s="64"/>
      <c r="AH15" s="73">
        <v>4.0</v>
      </c>
      <c r="AI15" s="73" t="s">
        <v>102</v>
      </c>
      <c r="AJ15" s="73" t="s">
        <v>136</v>
      </c>
    </row>
    <row r="16">
      <c r="B16" s="60" t="s">
        <v>137</v>
      </c>
      <c r="C16" s="60" t="s">
        <v>212</v>
      </c>
      <c r="G16" s="64"/>
      <c r="N16" s="95"/>
      <c r="O16" s="94"/>
      <c r="P16" s="64"/>
      <c r="W16" s="95"/>
      <c r="X16" s="96"/>
      <c r="Y16" s="64"/>
      <c r="AH16" s="73">
        <v>5.0</v>
      </c>
      <c r="AI16" s="73" t="s">
        <v>102</v>
      </c>
      <c r="AJ16" s="73" t="s">
        <v>139</v>
      </c>
    </row>
    <row r="17">
      <c r="G17" s="64" t="str">
        <f>WhiteP5</f>
        <v>Marcus (W)</v>
      </c>
      <c r="H17" s="73" t="s">
        <v>49</v>
      </c>
      <c r="I17" s="70" t="str">
        <f>RedP5</f>
        <v>Powell (R)</v>
      </c>
      <c r="K17" s="60" t="str">
        <f>BlackP5</f>
        <v>Andrew (A)</v>
      </c>
      <c r="L17" s="73" t="s">
        <v>49</v>
      </c>
      <c r="M17" s="62" t="str">
        <f>BlueP5</f>
        <v>Mikey (B)</v>
      </c>
      <c r="N17" s="98"/>
      <c r="O17" s="94"/>
      <c r="P17" s="64" t="str">
        <f>G17</f>
        <v>Marcus (W)</v>
      </c>
      <c r="Q17" s="73" t="s">
        <v>49</v>
      </c>
      <c r="R17" s="62" t="str">
        <f>M17</f>
        <v>Mikey (B)</v>
      </c>
      <c r="T17" s="70" t="str">
        <f>I17</f>
        <v>Powell (R)</v>
      </c>
      <c r="U17" s="73" t="s">
        <v>49</v>
      </c>
      <c r="V17" s="60" t="str">
        <f>K17</f>
        <v>Andrew (A)</v>
      </c>
      <c r="W17" s="98"/>
      <c r="X17" s="96"/>
      <c r="Y17" s="64" t="str">
        <f>P17</f>
        <v>Marcus (W)</v>
      </c>
      <c r="Z17" s="73" t="s">
        <v>49</v>
      </c>
      <c r="AA17" s="60" t="str">
        <f>V17</f>
        <v>Andrew (A)</v>
      </c>
      <c r="AC17" s="62" t="str">
        <f>R17</f>
        <v>Mikey (B)</v>
      </c>
      <c r="AD17" s="73" t="s">
        <v>49</v>
      </c>
      <c r="AE17" s="70" t="str">
        <f>T17</f>
        <v>Powell (R)</v>
      </c>
      <c r="AH17" s="73">
        <v>6.0</v>
      </c>
      <c r="AI17" s="73" t="s">
        <v>104</v>
      </c>
      <c r="AJ17" s="73" t="s">
        <v>140</v>
      </c>
    </row>
    <row r="18">
      <c r="B18" s="62" t="s">
        <v>213</v>
      </c>
      <c r="C18" s="62" t="s">
        <v>214</v>
      </c>
      <c r="G18" s="64"/>
      <c r="N18" s="98"/>
      <c r="O18" s="94"/>
      <c r="P18" s="64"/>
      <c r="W18" s="98"/>
      <c r="X18" s="96"/>
      <c r="Y18" s="64"/>
      <c r="AH18" s="73">
        <v>7.0</v>
      </c>
      <c r="AI18" s="73" t="s">
        <v>103</v>
      </c>
      <c r="AJ18" s="73" t="s">
        <v>143</v>
      </c>
    </row>
    <row r="19">
      <c r="B19" s="62" t="s">
        <v>215</v>
      </c>
      <c r="C19" s="62" t="s">
        <v>216</v>
      </c>
      <c r="G19" s="64"/>
      <c r="N19" s="98"/>
      <c r="O19" s="94"/>
      <c r="P19" s="64"/>
      <c r="W19" s="98"/>
      <c r="X19" s="96"/>
      <c r="Y19" s="64"/>
      <c r="AH19" s="73">
        <v>8.0</v>
      </c>
      <c r="AI19" s="73" t="s">
        <v>101</v>
      </c>
      <c r="AJ19" s="73" t="s">
        <v>146</v>
      </c>
    </row>
    <row r="20">
      <c r="B20" s="62" t="s">
        <v>217</v>
      </c>
      <c r="C20" s="62" t="s">
        <v>218</v>
      </c>
      <c r="G20" s="64" t="str">
        <f>WhiteP6</f>
        <v>Dave (W)</v>
      </c>
      <c r="H20" s="73" t="s">
        <v>49</v>
      </c>
      <c r="I20" s="62" t="str">
        <f>BlueP6</f>
        <v>Matt (B)</v>
      </c>
      <c r="K20" s="70" t="str">
        <f>RedP6</f>
        <v>Beeler (R)</v>
      </c>
      <c r="L20" s="73" t="s">
        <v>49</v>
      </c>
      <c r="M20" s="60" t="str">
        <f>BlackP6</f>
        <v>Neil (A)</v>
      </c>
      <c r="O20" s="94"/>
      <c r="P20" s="64" t="str">
        <f>G20</f>
        <v>Dave (W)</v>
      </c>
      <c r="Q20" s="73" t="s">
        <v>49</v>
      </c>
      <c r="R20" s="60" t="str">
        <f>M20</f>
        <v>Neil (A)</v>
      </c>
      <c r="T20" s="62" t="str">
        <f>I20</f>
        <v>Matt (B)</v>
      </c>
      <c r="U20" s="73" t="s">
        <v>49</v>
      </c>
      <c r="V20" s="70" t="str">
        <f>K20</f>
        <v>Beeler (R)</v>
      </c>
      <c r="X20" s="96"/>
      <c r="Y20" s="64" t="str">
        <f>P20</f>
        <v>Dave (W)</v>
      </c>
      <c r="Z20" s="73" t="s">
        <v>49</v>
      </c>
      <c r="AA20" s="70" t="str">
        <f>V20</f>
        <v>Beeler (R)</v>
      </c>
      <c r="AC20" s="60" t="str">
        <f>R20</f>
        <v>Neil (A)</v>
      </c>
      <c r="AD20" s="73" t="s">
        <v>49</v>
      </c>
      <c r="AE20" s="62" t="str">
        <f>T20</f>
        <v>Matt (B)</v>
      </c>
      <c r="AH20" s="73">
        <v>9.0</v>
      </c>
      <c r="AI20" s="73" t="s">
        <v>101</v>
      </c>
      <c r="AJ20" s="73" t="s">
        <v>149</v>
      </c>
    </row>
    <row r="21">
      <c r="B21" s="62" t="s">
        <v>219</v>
      </c>
      <c r="C21" s="62" t="s">
        <v>151</v>
      </c>
      <c r="J21" s="100"/>
      <c r="K21" s="100"/>
      <c r="L21" s="100"/>
      <c r="M21" s="85"/>
      <c r="N21" s="85"/>
      <c r="O21" s="100"/>
      <c r="P21" s="100"/>
      <c r="Q21" s="100"/>
      <c r="R21" s="85"/>
      <c r="S21" s="85"/>
      <c r="T21" s="85"/>
      <c r="U21" s="85"/>
      <c r="V21" s="85"/>
      <c r="W21" s="85"/>
      <c r="AH21" s="73">
        <v>10.0</v>
      </c>
      <c r="AI21" s="73" t="s">
        <v>103</v>
      </c>
      <c r="AJ21" s="73" t="s">
        <v>152</v>
      </c>
    </row>
    <row r="22">
      <c r="B22" s="62" t="s">
        <v>220</v>
      </c>
      <c r="C22" s="62" t="s">
        <v>154</v>
      </c>
      <c r="P22" s="85"/>
      <c r="AA22" s="85"/>
      <c r="AH22" s="73">
        <v>11.0</v>
      </c>
      <c r="AI22" s="73" t="s">
        <v>104</v>
      </c>
      <c r="AJ22" s="73" t="s">
        <v>155</v>
      </c>
    </row>
    <row r="23">
      <c r="B23" s="62" t="s">
        <v>221</v>
      </c>
      <c r="C23" s="62" t="s">
        <v>222</v>
      </c>
      <c r="P23" s="85"/>
      <c r="AA23" s="85"/>
      <c r="AH23" s="73">
        <v>12.0</v>
      </c>
      <c r="AI23" s="73" t="s">
        <v>102</v>
      </c>
      <c r="AJ23" s="73" t="s">
        <v>158</v>
      </c>
    </row>
    <row r="24">
      <c r="F24" s="86" t="s">
        <v>223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H24" s="73">
        <v>13.0</v>
      </c>
      <c r="AI24" s="73" t="s">
        <v>102</v>
      </c>
      <c r="AJ24" s="73" t="s">
        <v>159</v>
      </c>
    </row>
    <row r="25">
      <c r="B25" s="70" t="s">
        <v>224</v>
      </c>
      <c r="C25" s="70" t="s">
        <v>225</v>
      </c>
      <c r="G25" s="64" t="s">
        <v>179</v>
      </c>
      <c r="M25" s="60" t="s">
        <v>180</v>
      </c>
      <c r="P25" s="85"/>
      <c r="T25" s="62" t="s">
        <v>181</v>
      </c>
      <c r="AA25" s="70" t="s">
        <v>182</v>
      </c>
      <c r="AH25" s="73">
        <v>14.0</v>
      </c>
      <c r="AI25" s="73" t="s">
        <v>104</v>
      </c>
      <c r="AJ25" s="73" t="s">
        <v>162</v>
      </c>
    </row>
    <row r="26">
      <c r="B26" s="70" t="s">
        <v>226</v>
      </c>
      <c r="C26" s="70" t="s">
        <v>227</v>
      </c>
      <c r="G26" s="64" t="str">
        <f t="shared" ref="G26:G27" si="1">C4</f>
        <v>Rob (W)</v>
      </c>
      <c r="M26" s="60" t="str">
        <f t="shared" ref="M26:M27" si="2">C11</f>
        <v>Mitch (A)</v>
      </c>
      <c r="P26" s="85"/>
      <c r="T26" s="62" t="str">
        <f t="shared" ref="T26:T27" si="3">C18</f>
        <v>Will (B)</v>
      </c>
      <c r="AA26" s="70" t="str">
        <f t="shared" ref="AA26:AA27" si="4">C25</f>
        <v>Troy (R)</v>
      </c>
      <c r="AH26" s="73">
        <v>15.0</v>
      </c>
      <c r="AI26" s="73" t="s">
        <v>103</v>
      </c>
      <c r="AJ26" s="73" t="s">
        <v>165</v>
      </c>
    </row>
    <row r="27">
      <c r="B27" s="70" t="s">
        <v>228</v>
      </c>
      <c r="C27" s="63" t="s">
        <v>229</v>
      </c>
      <c r="G27" s="64" t="str">
        <f t="shared" si="1"/>
        <v>Dutch (W)</v>
      </c>
      <c r="M27" s="60" t="str">
        <f t="shared" si="2"/>
        <v>Rocky (A)</v>
      </c>
      <c r="P27" s="85"/>
      <c r="T27" s="62" t="str">
        <f t="shared" si="3"/>
        <v>Miller (B)</v>
      </c>
      <c r="AA27" s="70" t="str">
        <f t="shared" si="4"/>
        <v>Ryan (R)</v>
      </c>
      <c r="AH27" s="73">
        <v>16.0</v>
      </c>
      <c r="AI27" s="73" t="s">
        <v>101</v>
      </c>
      <c r="AJ27" s="73" t="s">
        <v>168</v>
      </c>
    </row>
    <row r="28">
      <c r="B28" s="70" t="s">
        <v>230</v>
      </c>
      <c r="C28" s="70" t="s">
        <v>176</v>
      </c>
      <c r="G28" s="64"/>
      <c r="M28" s="60"/>
      <c r="P28" s="85"/>
      <c r="T28" s="62"/>
      <c r="AA28" s="70"/>
      <c r="AH28" s="73">
        <v>17.0</v>
      </c>
      <c r="AI28" s="73" t="s">
        <v>101</v>
      </c>
      <c r="AJ28" s="73" t="s">
        <v>171</v>
      </c>
    </row>
    <row r="29">
      <c r="B29" s="70" t="s">
        <v>231</v>
      </c>
      <c r="C29" s="70" t="s">
        <v>232</v>
      </c>
      <c r="G29" s="64"/>
      <c r="M29" s="60"/>
      <c r="P29" s="85"/>
      <c r="T29" s="62"/>
      <c r="AA29" s="70"/>
      <c r="AH29" s="73">
        <v>18.0</v>
      </c>
      <c r="AI29" s="73" t="s">
        <v>103</v>
      </c>
      <c r="AJ29" s="73" t="s">
        <v>174</v>
      </c>
    </row>
    <row r="30">
      <c r="B30" s="70" t="s">
        <v>233</v>
      </c>
      <c r="C30" s="63" t="s">
        <v>234</v>
      </c>
      <c r="G30" s="64" t="str">
        <f t="shared" ref="G30:G33" si="5">C6</f>
        <v>Adam (W)</v>
      </c>
      <c r="M30" s="60" t="str">
        <f t="shared" ref="M30:M33" si="6">C13</f>
        <v>Andy (A)</v>
      </c>
      <c r="P30" s="85"/>
      <c r="T30" s="62" t="str">
        <f t="shared" ref="T30:T33" si="7">C20</f>
        <v>Joe (B)</v>
      </c>
      <c r="AA30" s="70" t="str">
        <f t="shared" ref="AA30:AA33" si="8">C27</f>
        <v>Tyler (R)</v>
      </c>
      <c r="AH30" s="73">
        <v>19.0</v>
      </c>
      <c r="AI30" s="73" t="s">
        <v>104</v>
      </c>
      <c r="AJ30" s="73" t="s">
        <v>174</v>
      </c>
    </row>
    <row r="31">
      <c r="G31" s="64" t="str">
        <f t="shared" si="5"/>
        <v>Chad (W)</v>
      </c>
      <c r="M31" s="60" t="str">
        <f t="shared" si="6"/>
        <v>Paul (A)</v>
      </c>
      <c r="P31" s="85"/>
      <c r="T31" s="62" t="str">
        <f t="shared" si="7"/>
        <v>Kelly (B)</v>
      </c>
      <c r="AA31" s="70" t="str">
        <f t="shared" si="8"/>
        <v>Riley (R)</v>
      </c>
      <c r="AH31" s="73">
        <v>20.0</v>
      </c>
      <c r="AI31" s="73" t="s">
        <v>102</v>
      </c>
      <c r="AJ31" s="73" t="s">
        <v>177</v>
      </c>
    </row>
    <row r="32">
      <c r="G32" s="64" t="str">
        <f t="shared" si="5"/>
        <v>Marcus (W)</v>
      </c>
      <c r="M32" s="60" t="str">
        <f t="shared" si="6"/>
        <v>Andrew (A)</v>
      </c>
      <c r="P32" s="85"/>
      <c r="T32" s="62" t="str">
        <f t="shared" si="7"/>
        <v>Mikey (B)</v>
      </c>
      <c r="AA32" s="70" t="str">
        <f t="shared" si="8"/>
        <v>Powell (R)</v>
      </c>
    </row>
    <row r="33">
      <c r="G33" s="64" t="str">
        <f t="shared" si="5"/>
        <v>Dave (W)</v>
      </c>
      <c r="J33" s="85"/>
      <c r="L33" s="85"/>
      <c r="M33" s="60" t="str">
        <f t="shared" si="6"/>
        <v>Neil (A)</v>
      </c>
      <c r="N33" s="85"/>
      <c r="O33" s="85"/>
      <c r="P33" s="85"/>
      <c r="Q33" s="85"/>
      <c r="R33" s="85"/>
      <c r="S33" s="85"/>
      <c r="T33" s="62" t="str">
        <f t="shared" si="7"/>
        <v>Matt (B)</v>
      </c>
      <c r="U33" s="85"/>
      <c r="V33" s="85"/>
      <c r="W33" s="85"/>
      <c r="AA33" s="70" t="str">
        <f t="shared" si="8"/>
        <v>Beeler (R)</v>
      </c>
    </row>
    <row r="34">
      <c r="P34" s="85"/>
    </row>
    <row r="35">
      <c r="P35" s="85"/>
    </row>
    <row r="36">
      <c r="P36" s="85"/>
    </row>
    <row r="37">
      <c r="P37" s="85"/>
    </row>
    <row r="38">
      <c r="P38" s="85"/>
    </row>
    <row r="39">
      <c r="P39" s="85"/>
    </row>
    <row r="40">
      <c r="P40" s="85"/>
    </row>
    <row r="41">
      <c r="P41" s="85"/>
    </row>
    <row r="42">
      <c r="P42" s="85"/>
    </row>
    <row r="43">
      <c r="P43" s="85"/>
    </row>
    <row r="44">
      <c r="P44" s="85"/>
    </row>
    <row r="45">
      <c r="P45" s="85"/>
    </row>
    <row r="46">
      <c r="P46" s="85"/>
    </row>
    <row r="47">
      <c r="P47" s="85"/>
    </row>
    <row r="48">
      <c r="P48" s="85"/>
    </row>
    <row r="49">
      <c r="P49" s="85"/>
    </row>
    <row r="50">
      <c r="P50" s="85"/>
    </row>
    <row r="51">
      <c r="P51" s="85"/>
    </row>
    <row r="52">
      <c r="P52" s="85"/>
    </row>
    <row r="53">
      <c r="P53" s="85"/>
    </row>
    <row r="54">
      <c r="P54" s="85"/>
    </row>
    <row r="55">
      <c r="P55" s="85"/>
    </row>
    <row r="56">
      <c r="P56" s="85"/>
    </row>
    <row r="57">
      <c r="P57" s="85"/>
    </row>
    <row r="58">
      <c r="P58" s="85"/>
    </row>
    <row r="59">
      <c r="P59" s="85"/>
    </row>
    <row r="60">
      <c r="P60" s="85"/>
    </row>
    <row r="61">
      <c r="P61" s="85"/>
    </row>
    <row r="62">
      <c r="P62" s="85"/>
    </row>
    <row r="63">
      <c r="P63" s="85"/>
    </row>
    <row r="64">
      <c r="P64" s="85"/>
    </row>
    <row r="65">
      <c r="P65" s="85"/>
    </row>
    <row r="66">
      <c r="P66" s="85"/>
    </row>
    <row r="67">
      <c r="P67" s="85"/>
    </row>
    <row r="68">
      <c r="P68" s="85"/>
    </row>
    <row r="69">
      <c r="P69" s="85"/>
    </row>
    <row r="70">
      <c r="P70" s="85"/>
    </row>
    <row r="71">
      <c r="P71" s="85"/>
    </row>
    <row r="72">
      <c r="P72" s="85"/>
    </row>
    <row r="73">
      <c r="P73" s="85"/>
    </row>
    <row r="74">
      <c r="P74" s="85"/>
    </row>
    <row r="75">
      <c r="P75" s="85"/>
    </row>
    <row r="76">
      <c r="P76" s="85"/>
    </row>
    <row r="77">
      <c r="P77" s="85"/>
    </row>
    <row r="78">
      <c r="P78" s="85"/>
    </row>
    <row r="79">
      <c r="P79" s="85"/>
    </row>
    <row r="80">
      <c r="P80" s="85"/>
    </row>
    <row r="81">
      <c r="P81" s="85"/>
    </row>
    <row r="82">
      <c r="P82" s="85"/>
    </row>
    <row r="83">
      <c r="P83" s="85"/>
    </row>
    <row r="84">
      <c r="P84" s="85"/>
    </row>
    <row r="85">
      <c r="P85" s="85"/>
    </row>
    <row r="86">
      <c r="P86" s="85"/>
    </row>
    <row r="87">
      <c r="P87" s="85"/>
    </row>
    <row r="88">
      <c r="P88" s="85"/>
    </row>
    <row r="89">
      <c r="P89" s="85"/>
    </row>
    <row r="90">
      <c r="P90" s="85"/>
    </row>
    <row r="91">
      <c r="P91" s="85"/>
    </row>
    <row r="92">
      <c r="P92" s="85"/>
    </row>
    <row r="93">
      <c r="P93" s="85"/>
    </row>
    <row r="94">
      <c r="P94" s="85"/>
    </row>
    <row r="95">
      <c r="P95" s="85"/>
    </row>
    <row r="96">
      <c r="P96" s="85"/>
    </row>
    <row r="97">
      <c r="P97" s="85"/>
    </row>
    <row r="98">
      <c r="P98" s="85"/>
    </row>
    <row r="99">
      <c r="P99" s="85"/>
    </row>
    <row r="100">
      <c r="P100" s="85"/>
    </row>
    <row r="101">
      <c r="P101" s="85"/>
    </row>
    <row r="102">
      <c r="P102" s="85"/>
    </row>
    <row r="103">
      <c r="P103" s="85"/>
    </row>
    <row r="104">
      <c r="P104" s="85"/>
    </row>
    <row r="105">
      <c r="P105" s="85"/>
    </row>
    <row r="106">
      <c r="P106" s="85"/>
    </row>
    <row r="107">
      <c r="P107" s="85"/>
    </row>
    <row r="108">
      <c r="P108" s="85"/>
    </row>
    <row r="109">
      <c r="P109" s="85"/>
    </row>
    <row r="110">
      <c r="P110" s="85"/>
    </row>
    <row r="111">
      <c r="P111" s="85"/>
    </row>
    <row r="112">
      <c r="P112" s="85"/>
    </row>
    <row r="113">
      <c r="P113" s="85"/>
    </row>
    <row r="114">
      <c r="P114" s="85"/>
    </row>
    <row r="115">
      <c r="P115" s="85"/>
    </row>
    <row r="116">
      <c r="P116" s="85"/>
    </row>
    <row r="117">
      <c r="P117" s="85"/>
    </row>
    <row r="118">
      <c r="P118" s="85"/>
    </row>
    <row r="119">
      <c r="P119" s="85"/>
    </row>
    <row r="120">
      <c r="P120" s="85"/>
    </row>
    <row r="121">
      <c r="P121" s="85"/>
    </row>
    <row r="122">
      <c r="P122" s="85"/>
    </row>
    <row r="123">
      <c r="P123" s="85"/>
    </row>
    <row r="124">
      <c r="P124" s="85"/>
    </row>
    <row r="125">
      <c r="P125" s="85"/>
    </row>
    <row r="126">
      <c r="P126" s="85"/>
    </row>
    <row r="127">
      <c r="P127" s="85"/>
    </row>
    <row r="128">
      <c r="P128" s="85"/>
    </row>
    <row r="129">
      <c r="P129" s="85"/>
    </row>
    <row r="130">
      <c r="P130" s="85"/>
    </row>
    <row r="131">
      <c r="P131" s="85"/>
    </row>
    <row r="132">
      <c r="P132" s="85"/>
    </row>
    <row r="133">
      <c r="P133" s="85"/>
    </row>
    <row r="134">
      <c r="P134" s="85"/>
    </row>
    <row r="135">
      <c r="P135" s="85"/>
    </row>
    <row r="136">
      <c r="P136" s="85"/>
    </row>
    <row r="137">
      <c r="P137" s="85"/>
    </row>
    <row r="138">
      <c r="P138" s="85"/>
    </row>
    <row r="139">
      <c r="P139" s="85"/>
    </row>
    <row r="140">
      <c r="P140" s="85"/>
    </row>
    <row r="141">
      <c r="P141" s="85"/>
    </row>
    <row r="142">
      <c r="P142" s="85"/>
    </row>
    <row r="143">
      <c r="P143" s="85"/>
    </row>
    <row r="144">
      <c r="P144" s="85"/>
    </row>
    <row r="145">
      <c r="P145" s="85"/>
    </row>
    <row r="146">
      <c r="P146" s="85"/>
    </row>
    <row r="147">
      <c r="P147" s="85"/>
    </row>
    <row r="148">
      <c r="P148" s="85"/>
    </row>
    <row r="149">
      <c r="P149" s="85"/>
    </row>
    <row r="150">
      <c r="P150" s="85"/>
    </row>
    <row r="151">
      <c r="P151" s="85"/>
    </row>
    <row r="152">
      <c r="P152" s="85"/>
    </row>
    <row r="153">
      <c r="P153" s="85"/>
    </row>
    <row r="154">
      <c r="P154" s="85"/>
    </row>
    <row r="155">
      <c r="P155" s="85"/>
    </row>
    <row r="156">
      <c r="P156" s="85"/>
    </row>
    <row r="157">
      <c r="P157" s="85"/>
    </row>
    <row r="158">
      <c r="P158" s="85"/>
    </row>
    <row r="159">
      <c r="P159" s="85"/>
    </row>
    <row r="160">
      <c r="P160" s="85"/>
    </row>
    <row r="161">
      <c r="P161" s="85"/>
    </row>
    <row r="162">
      <c r="P162" s="85"/>
    </row>
    <row r="163">
      <c r="P163" s="85"/>
    </row>
    <row r="164">
      <c r="P164" s="85"/>
    </row>
    <row r="165">
      <c r="P165" s="85"/>
    </row>
    <row r="166">
      <c r="P166" s="85"/>
    </row>
    <row r="167">
      <c r="P167" s="85"/>
    </row>
    <row r="168">
      <c r="P168" s="85"/>
    </row>
    <row r="169">
      <c r="P169" s="85"/>
    </row>
    <row r="170">
      <c r="P170" s="85"/>
    </row>
    <row r="171">
      <c r="P171" s="85"/>
    </row>
    <row r="172">
      <c r="P172" s="85"/>
    </row>
    <row r="173">
      <c r="P173" s="85"/>
    </row>
    <row r="174">
      <c r="P174" s="85"/>
    </row>
    <row r="175">
      <c r="P175" s="85"/>
    </row>
    <row r="176">
      <c r="P176" s="85"/>
    </row>
    <row r="177">
      <c r="P177" s="85"/>
    </row>
    <row r="178">
      <c r="P178" s="85"/>
    </row>
    <row r="179">
      <c r="P179" s="85"/>
    </row>
    <row r="180">
      <c r="P180" s="85"/>
    </row>
    <row r="181">
      <c r="P181" s="85"/>
    </row>
    <row r="182">
      <c r="P182" s="85"/>
    </row>
    <row r="183">
      <c r="P183" s="85"/>
    </row>
    <row r="184">
      <c r="P184" s="85"/>
    </row>
    <row r="185">
      <c r="P185" s="85"/>
    </row>
    <row r="186">
      <c r="P186" s="85"/>
    </row>
    <row r="187">
      <c r="P187" s="85"/>
    </row>
    <row r="188">
      <c r="P188" s="85"/>
    </row>
    <row r="189">
      <c r="P189" s="85"/>
    </row>
    <row r="190">
      <c r="P190" s="85"/>
    </row>
    <row r="191">
      <c r="P191" s="85"/>
    </row>
    <row r="192">
      <c r="P192" s="85"/>
    </row>
    <row r="193">
      <c r="P193" s="85"/>
    </row>
    <row r="194">
      <c r="P194" s="85"/>
    </row>
    <row r="195">
      <c r="P195" s="85"/>
    </row>
    <row r="196">
      <c r="P196" s="85"/>
    </row>
    <row r="197">
      <c r="P197" s="85"/>
    </row>
    <row r="198">
      <c r="P198" s="85"/>
    </row>
    <row r="199">
      <c r="P199" s="85"/>
    </row>
    <row r="200">
      <c r="P200" s="85"/>
    </row>
    <row r="201">
      <c r="P201" s="85"/>
    </row>
    <row r="202">
      <c r="P202" s="85"/>
    </row>
    <row r="203">
      <c r="P203" s="85"/>
    </row>
    <row r="204">
      <c r="P204" s="85"/>
    </row>
    <row r="205">
      <c r="P205" s="85"/>
    </row>
    <row r="206">
      <c r="P206" s="85"/>
    </row>
    <row r="207">
      <c r="P207" s="85"/>
    </row>
    <row r="208">
      <c r="P208" s="85"/>
    </row>
    <row r="209">
      <c r="P209" s="85"/>
    </row>
    <row r="210">
      <c r="P210" s="85"/>
    </row>
    <row r="211">
      <c r="P211" s="85"/>
    </row>
    <row r="212">
      <c r="P212" s="85"/>
    </row>
    <row r="213">
      <c r="P213" s="85"/>
    </row>
    <row r="214">
      <c r="P214" s="85"/>
    </row>
    <row r="215">
      <c r="P215" s="85"/>
    </row>
    <row r="216">
      <c r="P216" s="85"/>
    </row>
    <row r="217">
      <c r="P217" s="85"/>
    </row>
    <row r="218">
      <c r="P218" s="85"/>
    </row>
    <row r="219">
      <c r="P219" s="85"/>
    </row>
    <row r="220">
      <c r="P220" s="85"/>
    </row>
    <row r="221">
      <c r="P221" s="85"/>
    </row>
    <row r="222">
      <c r="P222" s="85"/>
    </row>
    <row r="223">
      <c r="P223" s="85"/>
    </row>
    <row r="224">
      <c r="P224" s="85"/>
    </row>
    <row r="225">
      <c r="P225" s="85"/>
    </row>
    <row r="226">
      <c r="P226" s="85"/>
    </row>
    <row r="227">
      <c r="P227" s="85"/>
    </row>
    <row r="228">
      <c r="P228" s="85"/>
    </row>
    <row r="229">
      <c r="P229" s="85"/>
    </row>
    <row r="230">
      <c r="P230" s="85"/>
    </row>
    <row r="231">
      <c r="P231" s="85"/>
    </row>
    <row r="232">
      <c r="P232" s="85"/>
    </row>
    <row r="233">
      <c r="P233" s="85"/>
    </row>
    <row r="234">
      <c r="P234" s="85"/>
    </row>
    <row r="235">
      <c r="P235" s="85"/>
    </row>
    <row r="236">
      <c r="P236" s="85"/>
    </row>
    <row r="237">
      <c r="P237" s="85"/>
    </row>
    <row r="238">
      <c r="P238" s="85"/>
    </row>
    <row r="239">
      <c r="P239" s="85"/>
    </row>
    <row r="240">
      <c r="P240" s="85"/>
    </row>
    <row r="241">
      <c r="P241" s="85"/>
    </row>
    <row r="242">
      <c r="P242" s="85"/>
    </row>
    <row r="243">
      <c r="P243" s="85"/>
    </row>
    <row r="244">
      <c r="P244" s="85"/>
    </row>
    <row r="245">
      <c r="P245" s="85"/>
    </row>
    <row r="246">
      <c r="P246" s="85"/>
    </row>
    <row r="247">
      <c r="P247" s="85"/>
    </row>
    <row r="248">
      <c r="P248" s="85"/>
    </row>
    <row r="249">
      <c r="P249" s="85"/>
    </row>
    <row r="250">
      <c r="P250" s="85"/>
    </row>
    <row r="251">
      <c r="P251" s="85"/>
    </row>
    <row r="252">
      <c r="P252" s="85"/>
    </row>
    <row r="253">
      <c r="P253" s="85"/>
    </row>
    <row r="254">
      <c r="P254" s="85"/>
    </row>
    <row r="255">
      <c r="P255" s="85"/>
    </row>
    <row r="256">
      <c r="P256" s="85"/>
    </row>
    <row r="257">
      <c r="P257" s="85"/>
    </row>
    <row r="258">
      <c r="P258" s="85"/>
    </row>
    <row r="259">
      <c r="P259" s="85"/>
    </row>
    <row r="260">
      <c r="P260" s="85"/>
    </row>
    <row r="261">
      <c r="P261" s="85"/>
    </row>
    <row r="262">
      <c r="P262" s="85"/>
    </row>
    <row r="263">
      <c r="P263" s="85"/>
    </row>
    <row r="264">
      <c r="P264" s="85"/>
    </row>
    <row r="265">
      <c r="P265" s="85"/>
    </row>
    <row r="266">
      <c r="P266" s="85"/>
    </row>
    <row r="267">
      <c r="P267" s="85"/>
    </row>
    <row r="268">
      <c r="P268" s="85"/>
    </row>
    <row r="269">
      <c r="P269" s="85"/>
    </row>
    <row r="270">
      <c r="P270" s="85"/>
    </row>
    <row r="271">
      <c r="P271" s="85"/>
    </row>
    <row r="272">
      <c r="P272" s="85"/>
    </row>
    <row r="273">
      <c r="P273" s="85"/>
    </row>
    <row r="274">
      <c r="P274" s="85"/>
    </row>
    <row r="275">
      <c r="P275" s="85"/>
    </row>
    <row r="276">
      <c r="P276" s="85"/>
    </row>
    <row r="277">
      <c r="P277" s="85"/>
    </row>
    <row r="278">
      <c r="P278" s="85"/>
    </row>
    <row r="279">
      <c r="P279" s="85"/>
    </row>
    <row r="280">
      <c r="P280" s="85"/>
    </row>
    <row r="281">
      <c r="P281" s="85"/>
    </row>
    <row r="282">
      <c r="P282" s="85"/>
    </row>
    <row r="283">
      <c r="P283" s="85"/>
    </row>
    <row r="284">
      <c r="P284" s="85"/>
    </row>
    <row r="285">
      <c r="P285" s="85"/>
    </row>
    <row r="286">
      <c r="P286" s="85"/>
    </row>
    <row r="287">
      <c r="P287" s="85"/>
    </row>
    <row r="288">
      <c r="P288" s="85"/>
    </row>
    <row r="289">
      <c r="P289" s="85"/>
    </row>
    <row r="290">
      <c r="P290" s="85"/>
    </row>
    <row r="291">
      <c r="P291" s="85"/>
    </row>
    <row r="292">
      <c r="P292" s="85"/>
    </row>
    <row r="293">
      <c r="P293" s="85"/>
    </row>
    <row r="294">
      <c r="P294" s="85"/>
    </row>
    <row r="295">
      <c r="P295" s="85"/>
    </row>
    <row r="296">
      <c r="P296" s="85"/>
    </row>
    <row r="297">
      <c r="P297" s="85"/>
    </row>
    <row r="298">
      <c r="P298" s="85"/>
    </row>
    <row r="299">
      <c r="P299" s="85"/>
    </row>
    <row r="300">
      <c r="P300" s="85"/>
    </row>
    <row r="301">
      <c r="P301" s="85"/>
    </row>
    <row r="302">
      <c r="P302" s="85"/>
    </row>
    <row r="303">
      <c r="P303" s="85"/>
    </row>
    <row r="304">
      <c r="P304" s="85"/>
    </row>
    <row r="305">
      <c r="P305" s="85"/>
    </row>
    <row r="306">
      <c r="P306" s="85"/>
    </row>
    <row r="307">
      <c r="P307" s="85"/>
    </row>
    <row r="308">
      <c r="P308" s="85"/>
    </row>
    <row r="309">
      <c r="P309" s="85"/>
    </row>
    <row r="310">
      <c r="P310" s="85"/>
    </row>
    <row r="311">
      <c r="P311" s="85"/>
    </row>
    <row r="312">
      <c r="P312" s="85"/>
    </row>
    <row r="313">
      <c r="P313" s="85"/>
    </row>
    <row r="314">
      <c r="P314" s="85"/>
    </row>
    <row r="315">
      <c r="P315" s="85"/>
    </row>
    <row r="316">
      <c r="P316" s="85"/>
    </row>
    <row r="317">
      <c r="P317" s="85"/>
    </row>
    <row r="318">
      <c r="P318" s="85"/>
    </row>
    <row r="319">
      <c r="P319" s="85"/>
    </row>
    <row r="320">
      <c r="P320" s="85"/>
    </row>
    <row r="321">
      <c r="P321" s="85"/>
    </row>
    <row r="322">
      <c r="P322" s="85"/>
    </row>
    <row r="323">
      <c r="P323" s="85"/>
    </row>
    <row r="324">
      <c r="P324" s="85"/>
    </row>
    <row r="325">
      <c r="P325" s="85"/>
    </row>
    <row r="326">
      <c r="P326" s="85"/>
    </row>
    <row r="327">
      <c r="P327" s="85"/>
    </row>
    <row r="328">
      <c r="P328" s="85"/>
    </row>
    <row r="329">
      <c r="P329" s="85"/>
    </row>
    <row r="330">
      <c r="P330" s="85"/>
    </row>
    <row r="331">
      <c r="P331" s="85"/>
    </row>
    <row r="332">
      <c r="P332" s="85"/>
    </row>
    <row r="333">
      <c r="P333" s="85"/>
    </row>
    <row r="334">
      <c r="P334" s="85"/>
    </row>
    <row r="335">
      <c r="P335" s="85"/>
    </row>
    <row r="336">
      <c r="P336" s="85"/>
    </row>
    <row r="337">
      <c r="P337" s="85"/>
    </row>
    <row r="338">
      <c r="P338" s="85"/>
    </row>
    <row r="339">
      <c r="P339" s="85"/>
    </row>
    <row r="340">
      <c r="P340" s="85"/>
    </row>
    <row r="341">
      <c r="P341" s="85"/>
    </row>
    <row r="342">
      <c r="P342" s="85"/>
    </row>
    <row r="343">
      <c r="P343" s="85"/>
    </row>
    <row r="344">
      <c r="P344" s="85"/>
    </row>
    <row r="345">
      <c r="P345" s="85"/>
    </row>
    <row r="346">
      <c r="P346" s="85"/>
    </row>
    <row r="347">
      <c r="P347" s="85"/>
    </row>
    <row r="348">
      <c r="P348" s="85"/>
    </row>
    <row r="349">
      <c r="P349" s="85"/>
    </row>
    <row r="350">
      <c r="P350" s="85"/>
    </row>
    <row r="351">
      <c r="P351" s="85"/>
    </row>
    <row r="352">
      <c r="P352" s="85"/>
    </row>
    <row r="353">
      <c r="P353" s="85"/>
    </row>
    <row r="354">
      <c r="P354" s="85"/>
    </row>
    <row r="355">
      <c r="P355" s="85"/>
    </row>
    <row r="356">
      <c r="P356" s="85"/>
    </row>
    <row r="357">
      <c r="P357" s="85"/>
    </row>
    <row r="358">
      <c r="P358" s="85"/>
    </row>
    <row r="359">
      <c r="P359" s="85"/>
    </row>
    <row r="360">
      <c r="P360" s="85"/>
    </row>
    <row r="361">
      <c r="P361" s="85"/>
    </row>
    <row r="362">
      <c r="P362" s="85"/>
    </row>
    <row r="363">
      <c r="P363" s="85"/>
    </row>
    <row r="364">
      <c r="P364" s="85"/>
    </row>
    <row r="365">
      <c r="P365" s="85"/>
    </row>
    <row r="366">
      <c r="P366" s="85"/>
    </row>
    <row r="367">
      <c r="P367" s="85"/>
    </row>
    <row r="368">
      <c r="P368" s="85"/>
    </row>
    <row r="369">
      <c r="P369" s="85"/>
    </row>
    <row r="370">
      <c r="P370" s="85"/>
    </row>
    <row r="371">
      <c r="P371" s="85"/>
    </row>
    <row r="372">
      <c r="P372" s="85"/>
    </row>
    <row r="373">
      <c r="P373" s="85"/>
    </row>
    <row r="374">
      <c r="P374" s="85"/>
    </row>
    <row r="375">
      <c r="P375" s="85"/>
    </row>
    <row r="376">
      <c r="P376" s="85"/>
    </row>
    <row r="377">
      <c r="P377" s="85"/>
    </row>
    <row r="378">
      <c r="P378" s="85"/>
    </row>
    <row r="379">
      <c r="P379" s="85"/>
    </row>
    <row r="380">
      <c r="P380" s="85"/>
    </row>
    <row r="381">
      <c r="P381" s="85"/>
    </row>
    <row r="382">
      <c r="P382" s="85"/>
    </row>
    <row r="383">
      <c r="P383" s="85"/>
    </row>
    <row r="384">
      <c r="P384" s="85"/>
    </row>
    <row r="385">
      <c r="P385" s="85"/>
    </row>
    <row r="386">
      <c r="P386" s="85"/>
    </row>
    <row r="387">
      <c r="P387" s="85"/>
    </row>
    <row r="388">
      <c r="P388" s="85"/>
    </row>
    <row r="389">
      <c r="P389" s="85"/>
    </row>
    <row r="390">
      <c r="P390" s="85"/>
    </row>
    <row r="391">
      <c r="P391" s="85"/>
    </row>
    <row r="392">
      <c r="P392" s="85"/>
    </row>
    <row r="393">
      <c r="P393" s="85"/>
    </row>
    <row r="394">
      <c r="P394" s="85"/>
    </row>
    <row r="395">
      <c r="P395" s="85"/>
    </row>
    <row r="396">
      <c r="P396" s="85"/>
    </row>
    <row r="397">
      <c r="P397" s="85"/>
    </row>
    <row r="398">
      <c r="P398" s="85"/>
    </row>
    <row r="399">
      <c r="P399" s="85"/>
    </row>
    <row r="400">
      <c r="P400" s="85"/>
    </row>
    <row r="401">
      <c r="P401" s="85"/>
    </row>
    <row r="402">
      <c r="P402" s="85"/>
    </row>
    <row r="403">
      <c r="P403" s="85"/>
    </row>
    <row r="404">
      <c r="P404" s="85"/>
    </row>
    <row r="405">
      <c r="P405" s="85"/>
    </row>
    <row r="406">
      <c r="P406" s="85"/>
    </row>
    <row r="407">
      <c r="P407" s="85"/>
    </row>
    <row r="408">
      <c r="P408" s="85"/>
    </row>
    <row r="409">
      <c r="P409" s="85"/>
    </row>
    <row r="410">
      <c r="P410" s="85"/>
    </row>
    <row r="411">
      <c r="P411" s="85"/>
    </row>
    <row r="412">
      <c r="P412" s="85"/>
    </row>
    <row r="413">
      <c r="P413" s="85"/>
    </row>
    <row r="414">
      <c r="P414" s="85"/>
    </row>
    <row r="415">
      <c r="P415" s="85"/>
    </row>
    <row r="416">
      <c r="P416" s="85"/>
    </row>
    <row r="417">
      <c r="P417" s="85"/>
    </row>
    <row r="418">
      <c r="P418" s="85"/>
    </row>
    <row r="419">
      <c r="P419" s="85"/>
    </row>
    <row r="420">
      <c r="P420" s="85"/>
    </row>
    <row r="421">
      <c r="P421" s="85"/>
    </row>
    <row r="422">
      <c r="P422" s="85"/>
    </row>
    <row r="423">
      <c r="P423" s="85"/>
    </row>
    <row r="424">
      <c r="P424" s="85"/>
    </row>
    <row r="425">
      <c r="P425" s="85"/>
    </row>
    <row r="426">
      <c r="P426" s="85"/>
    </row>
    <row r="427">
      <c r="P427" s="85"/>
    </row>
    <row r="428">
      <c r="P428" s="85"/>
    </row>
    <row r="429">
      <c r="P429" s="85"/>
    </row>
    <row r="430">
      <c r="P430" s="85"/>
    </row>
    <row r="431">
      <c r="P431" s="85"/>
    </row>
    <row r="432">
      <c r="P432" s="85"/>
    </row>
    <row r="433">
      <c r="P433" s="85"/>
    </row>
    <row r="434">
      <c r="P434" s="85"/>
    </row>
    <row r="435">
      <c r="P435" s="85"/>
    </row>
    <row r="436">
      <c r="P436" s="85"/>
    </row>
    <row r="437">
      <c r="P437" s="85"/>
    </row>
    <row r="438">
      <c r="P438" s="85"/>
    </row>
    <row r="439">
      <c r="P439" s="85"/>
    </row>
    <row r="440">
      <c r="P440" s="85"/>
    </row>
    <row r="441">
      <c r="P441" s="85"/>
    </row>
    <row r="442">
      <c r="P442" s="85"/>
    </row>
    <row r="443">
      <c r="P443" s="85"/>
    </row>
    <row r="444">
      <c r="P444" s="85"/>
    </row>
    <row r="445">
      <c r="P445" s="85"/>
    </row>
    <row r="446">
      <c r="P446" s="85"/>
    </row>
    <row r="447">
      <c r="P447" s="85"/>
    </row>
    <row r="448">
      <c r="P448" s="85"/>
    </row>
    <row r="449">
      <c r="P449" s="85"/>
    </row>
    <row r="450">
      <c r="P450" s="85"/>
    </row>
    <row r="451">
      <c r="P451" s="85"/>
    </row>
    <row r="452">
      <c r="P452" s="85"/>
    </row>
    <row r="453">
      <c r="P453" s="85"/>
    </row>
    <row r="454">
      <c r="P454" s="85"/>
    </row>
    <row r="455">
      <c r="P455" s="85"/>
    </row>
    <row r="456">
      <c r="P456" s="85"/>
    </row>
    <row r="457">
      <c r="P457" s="85"/>
    </row>
    <row r="458">
      <c r="P458" s="85"/>
    </row>
    <row r="459">
      <c r="P459" s="85"/>
    </row>
    <row r="460">
      <c r="P460" s="85"/>
    </row>
    <row r="461">
      <c r="P461" s="85"/>
    </row>
    <row r="462">
      <c r="P462" s="85"/>
    </row>
    <row r="463">
      <c r="P463" s="85"/>
    </row>
    <row r="464">
      <c r="P464" s="85"/>
    </row>
    <row r="465">
      <c r="P465" s="85"/>
    </row>
    <row r="466">
      <c r="P466" s="85"/>
    </row>
    <row r="467">
      <c r="P467" s="85"/>
    </row>
    <row r="468">
      <c r="P468" s="85"/>
    </row>
    <row r="469">
      <c r="P469" s="85"/>
    </row>
    <row r="470">
      <c r="P470" s="85"/>
    </row>
    <row r="471">
      <c r="P471" s="85"/>
    </row>
    <row r="472">
      <c r="P472" s="85"/>
    </row>
    <row r="473">
      <c r="P473" s="85"/>
    </row>
    <row r="474">
      <c r="P474" s="85"/>
    </row>
    <row r="475">
      <c r="P475" s="85"/>
    </row>
    <row r="476">
      <c r="P476" s="85"/>
    </row>
    <row r="477">
      <c r="P477" s="85"/>
    </row>
    <row r="478">
      <c r="P478" s="85"/>
    </row>
    <row r="479">
      <c r="P479" s="85"/>
    </row>
    <row r="480">
      <c r="P480" s="85"/>
    </row>
    <row r="481">
      <c r="P481" s="85"/>
    </row>
    <row r="482">
      <c r="P482" s="85"/>
    </row>
    <row r="483">
      <c r="P483" s="85"/>
    </row>
    <row r="484">
      <c r="P484" s="85"/>
    </row>
    <row r="485">
      <c r="P485" s="85"/>
    </row>
    <row r="486">
      <c r="P486" s="85"/>
    </row>
    <row r="487">
      <c r="P487" s="85"/>
    </row>
    <row r="488">
      <c r="P488" s="85"/>
    </row>
    <row r="489">
      <c r="P489" s="85"/>
    </row>
    <row r="490">
      <c r="P490" s="85"/>
    </row>
    <row r="491">
      <c r="P491" s="85"/>
    </row>
    <row r="492">
      <c r="P492" s="85"/>
    </row>
    <row r="493">
      <c r="P493" s="85"/>
    </row>
    <row r="494">
      <c r="P494" s="85"/>
    </row>
    <row r="495">
      <c r="P495" s="85"/>
    </row>
    <row r="496">
      <c r="P496" s="85"/>
    </row>
    <row r="497">
      <c r="P497" s="85"/>
    </row>
    <row r="498">
      <c r="P498" s="85"/>
    </row>
    <row r="499">
      <c r="P499" s="85"/>
    </row>
    <row r="500">
      <c r="P500" s="85"/>
    </row>
    <row r="501">
      <c r="P501" s="85"/>
    </row>
    <row r="502">
      <c r="P502" s="85"/>
    </row>
    <row r="503">
      <c r="P503" s="85"/>
    </row>
    <row r="504">
      <c r="P504" s="85"/>
    </row>
    <row r="505">
      <c r="P505" s="85"/>
    </row>
    <row r="506">
      <c r="P506" s="85"/>
    </row>
    <row r="507">
      <c r="P507" s="85"/>
    </row>
    <row r="508">
      <c r="P508" s="85"/>
    </row>
    <row r="509">
      <c r="P509" s="85"/>
    </row>
    <row r="510">
      <c r="P510" s="85"/>
    </row>
    <row r="511">
      <c r="P511" s="85"/>
    </row>
    <row r="512">
      <c r="P512" s="85"/>
    </row>
    <row r="513">
      <c r="P513" s="85"/>
    </row>
    <row r="514">
      <c r="P514" s="85"/>
    </row>
    <row r="515">
      <c r="P515" s="85"/>
    </row>
    <row r="516">
      <c r="P516" s="85"/>
    </row>
    <row r="517">
      <c r="P517" s="85"/>
    </row>
    <row r="518">
      <c r="P518" s="85"/>
    </row>
    <row r="519">
      <c r="P519" s="85"/>
    </row>
    <row r="520">
      <c r="P520" s="85"/>
    </row>
    <row r="521">
      <c r="P521" s="85"/>
    </row>
    <row r="522">
      <c r="P522" s="85"/>
    </row>
    <row r="523">
      <c r="P523" s="85"/>
    </row>
    <row r="524">
      <c r="P524" s="85"/>
    </row>
    <row r="525">
      <c r="P525" s="85"/>
    </row>
    <row r="526">
      <c r="P526" s="85"/>
    </row>
    <row r="527">
      <c r="P527" s="85"/>
    </row>
    <row r="528">
      <c r="P528" s="85"/>
    </row>
    <row r="529">
      <c r="P529" s="85"/>
    </row>
    <row r="530">
      <c r="P530" s="85"/>
    </row>
    <row r="531">
      <c r="P531" s="85"/>
    </row>
    <row r="532">
      <c r="P532" s="85"/>
    </row>
    <row r="533">
      <c r="P533" s="85"/>
    </row>
    <row r="534">
      <c r="P534" s="85"/>
    </row>
    <row r="535">
      <c r="P535" s="85"/>
    </row>
    <row r="536">
      <c r="P536" s="85"/>
    </row>
    <row r="537">
      <c r="P537" s="85"/>
    </row>
    <row r="538">
      <c r="P538" s="85"/>
    </row>
    <row r="539">
      <c r="P539" s="85"/>
    </row>
    <row r="540">
      <c r="P540" s="85"/>
    </row>
    <row r="541">
      <c r="P541" s="85"/>
    </row>
    <row r="542">
      <c r="P542" s="85"/>
    </row>
    <row r="543">
      <c r="P543" s="85"/>
    </row>
    <row r="544">
      <c r="P544" s="85"/>
    </row>
    <row r="545">
      <c r="P545" s="85"/>
    </row>
    <row r="546">
      <c r="P546" s="85"/>
    </row>
    <row r="547">
      <c r="P547" s="85"/>
    </row>
    <row r="548">
      <c r="P548" s="85"/>
    </row>
    <row r="549">
      <c r="P549" s="85"/>
    </row>
    <row r="550">
      <c r="P550" s="85"/>
    </row>
    <row r="551">
      <c r="P551" s="85"/>
    </row>
    <row r="552">
      <c r="P552" s="85"/>
    </row>
    <row r="553">
      <c r="P553" s="85"/>
    </row>
    <row r="554">
      <c r="P554" s="85"/>
    </row>
    <row r="555">
      <c r="P555" s="85"/>
    </row>
    <row r="556">
      <c r="P556" s="85"/>
    </row>
    <row r="557">
      <c r="P557" s="85"/>
    </row>
    <row r="558">
      <c r="P558" s="85"/>
    </row>
    <row r="559">
      <c r="P559" s="85"/>
    </row>
    <row r="560">
      <c r="P560" s="85"/>
    </row>
    <row r="561">
      <c r="P561" s="85"/>
    </row>
    <row r="562">
      <c r="P562" s="85"/>
    </row>
    <row r="563">
      <c r="P563" s="85"/>
    </row>
    <row r="564">
      <c r="P564" s="85"/>
    </row>
    <row r="565">
      <c r="P565" s="85"/>
    </row>
    <row r="566">
      <c r="P566" s="85"/>
    </row>
    <row r="567">
      <c r="P567" s="85"/>
    </row>
    <row r="568">
      <c r="P568" s="85"/>
    </row>
    <row r="569">
      <c r="P569" s="85"/>
    </row>
    <row r="570">
      <c r="P570" s="85"/>
    </row>
    <row r="571">
      <c r="P571" s="85"/>
    </row>
    <row r="572">
      <c r="P572" s="85"/>
    </row>
    <row r="573">
      <c r="P573" s="85"/>
    </row>
    <row r="574">
      <c r="P574" s="85"/>
    </row>
    <row r="575">
      <c r="P575" s="85"/>
    </row>
    <row r="576">
      <c r="P576" s="85"/>
    </row>
    <row r="577">
      <c r="P577" s="85"/>
    </row>
    <row r="578">
      <c r="P578" s="85"/>
    </row>
    <row r="579">
      <c r="P579" s="85"/>
    </row>
    <row r="580">
      <c r="P580" s="85"/>
    </row>
    <row r="581">
      <c r="P581" s="85"/>
    </row>
    <row r="582">
      <c r="P582" s="85"/>
    </row>
    <row r="583">
      <c r="P583" s="85"/>
    </row>
    <row r="584">
      <c r="P584" s="85"/>
    </row>
    <row r="585">
      <c r="P585" s="85"/>
    </row>
    <row r="586">
      <c r="P586" s="85"/>
    </row>
    <row r="587">
      <c r="P587" s="85"/>
    </row>
    <row r="588">
      <c r="P588" s="85"/>
    </row>
    <row r="589">
      <c r="P589" s="85"/>
    </row>
    <row r="590">
      <c r="P590" s="85"/>
    </row>
    <row r="591">
      <c r="P591" s="85"/>
    </row>
    <row r="592">
      <c r="P592" s="85"/>
    </row>
    <row r="593">
      <c r="P593" s="85"/>
    </row>
    <row r="594">
      <c r="P594" s="85"/>
    </row>
    <row r="595">
      <c r="P595" s="85"/>
    </row>
    <row r="596">
      <c r="P596" s="85"/>
    </row>
    <row r="597">
      <c r="P597" s="85"/>
    </row>
    <row r="598">
      <c r="P598" s="85"/>
    </row>
    <row r="599">
      <c r="P599" s="85"/>
    </row>
    <row r="600">
      <c r="P600" s="85"/>
    </row>
    <row r="601">
      <c r="P601" s="85"/>
    </row>
    <row r="602">
      <c r="P602" s="85"/>
    </row>
    <row r="603">
      <c r="P603" s="85"/>
    </row>
    <row r="604">
      <c r="P604" s="85"/>
    </row>
    <row r="605">
      <c r="P605" s="85"/>
    </row>
    <row r="606">
      <c r="P606" s="85"/>
    </row>
    <row r="607">
      <c r="P607" s="85"/>
    </row>
    <row r="608">
      <c r="P608" s="85"/>
    </row>
    <row r="609">
      <c r="P609" s="85"/>
    </row>
    <row r="610">
      <c r="P610" s="85"/>
    </row>
    <row r="611">
      <c r="P611" s="85"/>
    </row>
    <row r="612">
      <c r="P612" s="85"/>
    </row>
    <row r="613">
      <c r="P613" s="85"/>
    </row>
    <row r="614">
      <c r="P614" s="85"/>
    </row>
    <row r="615">
      <c r="P615" s="85"/>
    </row>
    <row r="616">
      <c r="P616" s="85"/>
    </row>
    <row r="617">
      <c r="P617" s="85"/>
    </row>
    <row r="618">
      <c r="P618" s="85"/>
    </row>
    <row r="619">
      <c r="P619" s="85"/>
    </row>
    <row r="620">
      <c r="P620" s="85"/>
    </row>
    <row r="621">
      <c r="P621" s="85"/>
    </row>
    <row r="622">
      <c r="P622" s="85"/>
    </row>
    <row r="623">
      <c r="P623" s="85"/>
    </row>
    <row r="624">
      <c r="P624" s="85"/>
    </row>
    <row r="625">
      <c r="P625" s="85"/>
    </row>
    <row r="626">
      <c r="P626" s="85"/>
    </row>
    <row r="627">
      <c r="P627" s="85"/>
    </row>
    <row r="628">
      <c r="P628" s="85"/>
    </row>
    <row r="629">
      <c r="P629" s="85"/>
    </row>
    <row r="630">
      <c r="P630" s="85"/>
    </row>
    <row r="631">
      <c r="P631" s="85"/>
    </row>
    <row r="632">
      <c r="P632" s="85"/>
    </row>
    <row r="633">
      <c r="P633" s="85"/>
    </row>
    <row r="634">
      <c r="P634" s="85"/>
    </row>
    <row r="635">
      <c r="P635" s="85"/>
    </row>
    <row r="636">
      <c r="P636" s="85"/>
    </row>
    <row r="637">
      <c r="P637" s="85"/>
    </row>
    <row r="638">
      <c r="P638" s="85"/>
    </row>
    <row r="639">
      <c r="P639" s="85"/>
    </row>
    <row r="640">
      <c r="P640" s="85"/>
    </row>
    <row r="641">
      <c r="P641" s="85"/>
    </row>
    <row r="642">
      <c r="P642" s="85"/>
    </row>
    <row r="643">
      <c r="P643" s="85"/>
    </row>
    <row r="644">
      <c r="P644" s="85"/>
    </row>
    <row r="645">
      <c r="P645" s="85"/>
    </row>
    <row r="646">
      <c r="P646" s="85"/>
    </row>
    <row r="647">
      <c r="P647" s="85"/>
    </row>
    <row r="648">
      <c r="P648" s="85"/>
    </row>
    <row r="649">
      <c r="P649" s="85"/>
    </row>
    <row r="650">
      <c r="P650" s="85"/>
    </row>
    <row r="651">
      <c r="P651" s="85"/>
    </row>
    <row r="652">
      <c r="P652" s="85"/>
    </row>
    <row r="653">
      <c r="P653" s="85"/>
    </row>
    <row r="654">
      <c r="P654" s="85"/>
    </row>
    <row r="655">
      <c r="P655" s="85"/>
    </row>
    <row r="656">
      <c r="P656" s="85"/>
    </row>
    <row r="657">
      <c r="P657" s="85"/>
    </row>
    <row r="658">
      <c r="P658" s="85"/>
    </row>
    <row r="659">
      <c r="P659" s="85"/>
    </row>
    <row r="660">
      <c r="P660" s="85"/>
    </row>
    <row r="661">
      <c r="P661" s="85"/>
    </row>
    <row r="662">
      <c r="P662" s="85"/>
    </row>
    <row r="663">
      <c r="P663" s="85"/>
    </row>
    <row r="664">
      <c r="P664" s="85"/>
    </row>
    <row r="665">
      <c r="P665" s="85"/>
    </row>
    <row r="666">
      <c r="P666" s="85"/>
    </row>
    <row r="667">
      <c r="P667" s="85"/>
    </row>
    <row r="668">
      <c r="P668" s="85"/>
    </row>
    <row r="669">
      <c r="P669" s="85"/>
    </row>
    <row r="670">
      <c r="P670" s="85"/>
    </row>
    <row r="671">
      <c r="P671" s="85"/>
    </row>
    <row r="672">
      <c r="P672" s="85"/>
    </row>
    <row r="673">
      <c r="P673" s="85"/>
    </row>
    <row r="674">
      <c r="P674" s="85"/>
    </row>
    <row r="675">
      <c r="P675" s="85"/>
    </row>
    <row r="676">
      <c r="P676" s="85"/>
    </row>
    <row r="677">
      <c r="P677" s="85"/>
    </row>
    <row r="678">
      <c r="P678" s="85"/>
    </row>
    <row r="679">
      <c r="P679" s="85"/>
    </row>
    <row r="680">
      <c r="P680" s="85"/>
    </row>
    <row r="681">
      <c r="P681" s="85"/>
    </row>
    <row r="682">
      <c r="P682" s="85"/>
    </row>
    <row r="683">
      <c r="P683" s="85"/>
    </row>
    <row r="684">
      <c r="P684" s="85"/>
    </row>
    <row r="685">
      <c r="P685" s="85"/>
    </row>
    <row r="686">
      <c r="P686" s="85"/>
    </row>
    <row r="687">
      <c r="P687" s="85"/>
    </row>
    <row r="688">
      <c r="P688" s="85"/>
    </row>
    <row r="689">
      <c r="P689" s="85"/>
    </row>
    <row r="690">
      <c r="P690" s="85"/>
    </row>
    <row r="691">
      <c r="P691" s="85"/>
    </row>
    <row r="692">
      <c r="P692" s="85"/>
    </row>
    <row r="693">
      <c r="P693" s="85"/>
    </row>
    <row r="694">
      <c r="P694" s="85"/>
    </row>
    <row r="695">
      <c r="P695" s="85"/>
    </row>
    <row r="696">
      <c r="P696" s="85"/>
    </row>
    <row r="697">
      <c r="P697" s="85"/>
    </row>
    <row r="698">
      <c r="P698" s="85"/>
    </row>
    <row r="699">
      <c r="P699" s="85"/>
    </row>
    <row r="700">
      <c r="P700" s="85"/>
    </row>
    <row r="701">
      <c r="P701" s="85"/>
    </row>
    <row r="702">
      <c r="P702" s="85"/>
    </row>
    <row r="703">
      <c r="P703" s="85"/>
    </row>
    <row r="704">
      <c r="P704" s="85"/>
    </row>
    <row r="705">
      <c r="P705" s="85"/>
    </row>
    <row r="706">
      <c r="P706" s="85"/>
    </row>
    <row r="707">
      <c r="P707" s="85"/>
    </row>
    <row r="708">
      <c r="P708" s="85"/>
    </row>
    <row r="709">
      <c r="P709" s="85"/>
    </row>
    <row r="710">
      <c r="P710" s="85"/>
    </row>
    <row r="711">
      <c r="P711" s="85"/>
    </row>
    <row r="712">
      <c r="P712" s="85"/>
    </row>
    <row r="713">
      <c r="P713" s="85"/>
    </row>
    <row r="714">
      <c r="P714" s="85"/>
    </row>
    <row r="715">
      <c r="P715" s="85"/>
    </row>
    <row r="716">
      <c r="P716" s="85"/>
    </row>
    <row r="717">
      <c r="P717" s="85"/>
    </row>
    <row r="718">
      <c r="P718" s="85"/>
    </row>
    <row r="719">
      <c r="P719" s="85"/>
    </row>
    <row r="720">
      <c r="P720" s="85"/>
    </row>
    <row r="721">
      <c r="P721" s="85"/>
    </row>
    <row r="722">
      <c r="P722" s="85"/>
    </row>
    <row r="723">
      <c r="P723" s="85"/>
    </row>
    <row r="724">
      <c r="P724" s="85"/>
    </row>
    <row r="725">
      <c r="P725" s="85"/>
    </row>
    <row r="726">
      <c r="P726" s="85"/>
    </row>
    <row r="727">
      <c r="P727" s="85"/>
    </row>
    <row r="728">
      <c r="P728" s="85"/>
    </row>
    <row r="729">
      <c r="P729" s="85"/>
    </row>
    <row r="730">
      <c r="P730" s="85"/>
    </row>
    <row r="731">
      <c r="P731" s="85"/>
    </row>
    <row r="732">
      <c r="P732" s="85"/>
    </row>
    <row r="733">
      <c r="P733" s="85"/>
    </row>
    <row r="734">
      <c r="P734" s="85"/>
    </row>
    <row r="735">
      <c r="P735" s="85"/>
    </row>
    <row r="736">
      <c r="P736" s="85"/>
    </row>
    <row r="737">
      <c r="P737" s="85"/>
    </row>
    <row r="738">
      <c r="P738" s="85"/>
    </row>
    <row r="739">
      <c r="P739" s="85"/>
    </row>
    <row r="740">
      <c r="P740" s="85"/>
    </row>
    <row r="741">
      <c r="P741" s="85"/>
    </row>
    <row r="742">
      <c r="P742" s="85"/>
    </row>
    <row r="743">
      <c r="P743" s="85"/>
    </row>
    <row r="744">
      <c r="P744" s="85"/>
    </row>
    <row r="745">
      <c r="P745" s="85"/>
    </row>
    <row r="746">
      <c r="P746" s="85"/>
    </row>
    <row r="747">
      <c r="P747" s="85"/>
    </row>
    <row r="748">
      <c r="P748" s="85"/>
    </row>
    <row r="749">
      <c r="P749" s="85"/>
    </row>
    <row r="750">
      <c r="P750" s="85"/>
    </row>
    <row r="751">
      <c r="P751" s="85"/>
    </row>
    <row r="752">
      <c r="P752" s="85"/>
    </row>
    <row r="753">
      <c r="P753" s="85"/>
    </row>
    <row r="754">
      <c r="P754" s="85"/>
    </row>
    <row r="755">
      <c r="P755" s="85"/>
    </row>
    <row r="756">
      <c r="P756" s="85"/>
    </row>
    <row r="757">
      <c r="P757" s="85"/>
    </row>
    <row r="758">
      <c r="P758" s="85"/>
    </row>
    <row r="759">
      <c r="P759" s="85"/>
    </row>
    <row r="760">
      <c r="P760" s="85"/>
    </row>
    <row r="761">
      <c r="P761" s="85"/>
    </row>
    <row r="762">
      <c r="P762" s="85"/>
    </row>
    <row r="763">
      <c r="P763" s="85"/>
    </row>
    <row r="764">
      <c r="P764" s="85"/>
    </row>
    <row r="765">
      <c r="P765" s="85"/>
    </row>
    <row r="766">
      <c r="P766" s="85"/>
    </row>
    <row r="767">
      <c r="P767" s="85"/>
    </row>
    <row r="768">
      <c r="P768" s="85"/>
    </row>
    <row r="769">
      <c r="P769" s="85"/>
    </row>
    <row r="770">
      <c r="P770" s="85"/>
    </row>
    <row r="771">
      <c r="P771" s="85"/>
    </row>
    <row r="772">
      <c r="P772" s="85"/>
    </row>
    <row r="773">
      <c r="P773" s="85"/>
    </row>
    <row r="774">
      <c r="P774" s="85"/>
    </row>
    <row r="775">
      <c r="P775" s="85"/>
    </row>
    <row r="776">
      <c r="P776" s="85"/>
    </row>
    <row r="777">
      <c r="P777" s="85"/>
    </row>
    <row r="778">
      <c r="P778" s="85"/>
    </row>
    <row r="779">
      <c r="P779" s="85"/>
    </row>
    <row r="780">
      <c r="P780" s="85"/>
    </row>
    <row r="781">
      <c r="P781" s="85"/>
    </row>
    <row r="782">
      <c r="P782" s="85"/>
    </row>
    <row r="783">
      <c r="P783" s="85"/>
    </row>
    <row r="784">
      <c r="P784" s="85"/>
    </row>
    <row r="785">
      <c r="P785" s="85"/>
    </row>
    <row r="786">
      <c r="P786" s="85"/>
    </row>
    <row r="787">
      <c r="P787" s="85"/>
    </row>
    <row r="788">
      <c r="P788" s="85"/>
    </row>
    <row r="789">
      <c r="P789" s="85"/>
    </row>
    <row r="790">
      <c r="P790" s="85"/>
    </row>
    <row r="791">
      <c r="P791" s="85"/>
    </row>
    <row r="792">
      <c r="P792" s="85"/>
    </row>
    <row r="793">
      <c r="P793" s="85"/>
    </row>
    <row r="794">
      <c r="P794" s="85"/>
    </row>
    <row r="795">
      <c r="P795" s="85"/>
    </row>
    <row r="796">
      <c r="P796" s="85"/>
    </row>
    <row r="797">
      <c r="P797" s="85"/>
    </row>
    <row r="798">
      <c r="P798" s="85"/>
    </row>
    <row r="799">
      <c r="P799" s="85"/>
    </row>
    <row r="800">
      <c r="P800" s="85"/>
    </row>
    <row r="801">
      <c r="P801" s="85"/>
    </row>
    <row r="802">
      <c r="P802" s="85"/>
    </row>
    <row r="803">
      <c r="P803" s="85"/>
    </row>
    <row r="804">
      <c r="P804" s="85"/>
    </row>
    <row r="805">
      <c r="P805" s="85"/>
    </row>
    <row r="806">
      <c r="P806" s="85"/>
    </row>
    <row r="807">
      <c r="P807" s="85"/>
    </row>
    <row r="808">
      <c r="P808" s="85"/>
    </row>
    <row r="809">
      <c r="P809" s="85"/>
    </row>
    <row r="810">
      <c r="P810" s="85"/>
    </row>
    <row r="811">
      <c r="P811" s="85"/>
    </row>
    <row r="812">
      <c r="P812" s="85"/>
    </row>
    <row r="813">
      <c r="P813" s="85"/>
    </row>
    <row r="814">
      <c r="P814" s="85"/>
    </row>
    <row r="815">
      <c r="P815" s="85"/>
    </row>
    <row r="816">
      <c r="P816" s="85"/>
    </row>
    <row r="817">
      <c r="P817" s="85"/>
    </row>
    <row r="818">
      <c r="P818" s="85"/>
    </row>
    <row r="819">
      <c r="P819" s="85"/>
    </row>
    <row r="820">
      <c r="P820" s="85"/>
    </row>
    <row r="821">
      <c r="P821" s="85"/>
    </row>
    <row r="822">
      <c r="P822" s="85"/>
    </row>
    <row r="823">
      <c r="P823" s="85"/>
    </row>
    <row r="824">
      <c r="P824" s="85"/>
    </row>
    <row r="825">
      <c r="P825" s="85"/>
    </row>
    <row r="826">
      <c r="P826" s="85"/>
    </row>
    <row r="827">
      <c r="P827" s="85"/>
    </row>
    <row r="828">
      <c r="P828" s="85"/>
    </row>
    <row r="829">
      <c r="P829" s="85"/>
    </row>
    <row r="830">
      <c r="P830" s="85"/>
    </row>
    <row r="831">
      <c r="P831" s="85"/>
    </row>
    <row r="832">
      <c r="P832" s="85"/>
    </row>
    <row r="833">
      <c r="P833" s="85"/>
    </row>
    <row r="834">
      <c r="P834" s="85"/>
    </row>
    <row r="835">
      <c r="P835" s="85"/>
    </row>
    <row r="836">
      <c r="P836" s="85"/>
    </row>
    <row r="837">
      <c r="P837" s="85"/>
    </row>
    <row r="838">
      <c r="P838" s="85"/>
    </row>
    <row r="839">
      <c r="P839" s="85"/>
    </row>
    <row r="840">
      <c r="P840" s="85"/>
    </row>
    <row r="841">
      <c r="P841" s="85"/>
    </row>
    <row r="842">
      <c r="P842" s="85"/>
    </row>
    <row r="843">
      <c r="P843" s="85"/>
    </row>
    <row r="844">
      <c r="P844" s="85"/>
    </row>
    <row r="845">
      <c r="P845" s="85"/>
    </row>
    <row r="846">
      <c r="P846" s="85"/>
    </row>
    <row r="847">
      <c r="P847" s="85"/>
    </row>
    <row r="848">
      <c r="P848" s="85"/>
    </row>
    <row r="849">
      <c r="P849" s="85"/>
    </row>
    <row r="850">
      <c r="P850" s="85"/>
    </row>
    <row r="851">
      <c r="P851" s="85"/>
    </row>
    <row r="852">
      <c r="P852" s="85"/>
    </row>
    <row r="853">
      <c r="P853" s="85"/>
    </row>
    <row r="854">
      <c r="P854" s="85"/>
    </row>
    <row r="855">
      <c r="P855" s="85"/>
    </row>
    <row r="856">
      <c r="P856" s="85"/>
    </row>
    <row r="857">
      <c r="P857" s="85"/>
    </row>
    <row r="858">
      <c r="P858" s="85"/>
    </row>
    <row r="859">
      <c r="P859" s="85"/>
    </row>
    <row r="860">
      <c r="P860" s="85"/>
    </row>
    <row r="861">
      <c r="P861" s="85"/>
    </row>
    <row r="862">
      <c r="P862" s="85"/>
    </row>
    <row r="863">
      <c r="P863" s="85"/>
    </row>
    <row r="864">
      <c r="P864" s="85"/>
    </row>
    <row r="865">
      <c r="P865" s="85"/>
    </row>
    <row r="866">
      <c r="P866" s="85"/>
    </row>
    <row r="867">
      <c r="P867" s="85"/>
    </row>
    <row r="868">
      <c r="P868" s="85"/>
    </row>
    <row r="869">
      <c r="P869" s="85"/>
    </row>
    <row r="870">
      <c r="P870" s="85"/>
    </row>
    <row r="871">
      <c r="P871" s="85"/>
    </row>
    <row r="872">
      <c r="P872" s="85"/>
    </row>
    <row r="873">
      <c r="P873" s="85"/>
    </row>
    <row r="874">
      <c r="P874" s="85"/>
    </row>
    <row r="875">
      <c r="P875" s="85"/>
    </row>
    <row r="876">
      <c r="P876" s="85"/>
    </row>
    <row r="877">
      <c r="P877" s="85"/>
    </row>
    <row r="878">
      <c r="P878" s="85"/>
    </row>
    <row r="879">
      <c r="P879" s="85"/>
    </row>
    <row r="880">
      <c r="P880" s="85"/>
    </row>
    <row r="881">
      <c r="P881" s="85"/>
    </row>
    <row r="882">
      <c r="P882" s="85"/>
    </row>
    <row r="883">
      <c r="P883" s="85"/>
    </row>
    <row r="884">
      <c r="P884" s="85"/>
    </row>
    <row r="885">
      <c r="P885" s="85"/>
    </row>
    <row r="886">
      <c r="P886" s="85"/>
    </row>
    <row r="887">
      <c r="P887" s="85"/>
    </row>
    <row r="888">
      <c r="P888" s="85"/>
    </row>
    <row r="889">
      <c r="P889" s="85"/>
    </row>
    <row r="890">
      <c r="P890" s="85"/>
    </row>
    <row r="891">
      <c r="P891" s="85"/>
    </row>
    <row r="892">
      <c r="P892" s="85"/>
    </row>
    <row r="893">
      <c r="P893" s="85"/>
    </row>
    <row r="894">
      <c r="P894" s="85"/>
    </row>
    <row r="895">
      <c r="P895" s="85"/>
    </row>
    <row r="896">
      <c r="P896" s="85"/>
    </row>
    <row r="897">
      <c r="P897" s="85"/>
    </row>
    <row r="898">
      <c r="P898" s="85"/>
    </row>
    <row r="899">
      <c r="P899" s="85"/>
    </row>
    <row r="900">
      <c r="P900" s="85"/>
    </row>
    <row r="901">
      <c r="P901" s="85"/>
    </row>
    <row r="902">
      <c r="P902" s="85"/>
    </row>
    <row r="903">
      <c r="P903" s="85"/>
    </row>
    <row r="904">
      <c r="P904" s="85"/>
    </row>
    <row r="905">
      <c r="P905" s="85"/>
    </row>
    <row r="906">
      <c r="P906" s="85"/>
    </row>
    <row r="907">
      <c r="P907" s="85"/>
    </row>
    <row r="908">
      <c r="P908" s="85"/>
    </row>
    <row r="909">
      <c r="P909" s="85"/>
    </row>
    <row r="910">
      <c r="P910" s="85"/>
    </row>
    <row r="911">
      <c r="P911" s="85"/>
    </row>
    <row r="912">
      <c r="P912" s="85"/>
    </row>
    <row r="913">
      <c r="P913" s="85"/>
    </row>
    <row r="914">
      <c r="P914" s="85"/>
    </row>
    <row r="915">
      <c r="P915" s="85"/>
    </row>
    <row r="916">
      <c r="P916" s="85"/>
    </row>
    <row r="917">
      <c r="P917" s="85"/>
    </row>
    <row r="918">
      <c r="P918" s="85"/>
    </row>
    <row r="919">
      <c r="P919" s="85"/>
    </row>
    <row r="920">
      <c r="P920" s="85"/>
    </row>
    <row r="921">
      <c r="P921" s="85"/>
    </row>
    <row r="922">
      <c r="P922" s="85"/>
    </row>
    <row r="923">
      <c r="P923" s="85"/>
    </row>
    <row r="924">
      <c r="P924" s="85"/>
    </row>
    <row r="925">
      <c r="P925" s="85"/>
    </row>
    <row r="926">
      <c r="P926" s="85"/>
    </row>
    <row r="927">
      <c r="P927" s="85"/>
    </row>
    <row r="928">
      <c r="P928" s="85"/>
    </row>
    <row r="929">
      <c r="P929" s="85"/>
    </row>
    <row r="930">
      <c r="P930" s="85"/>
    </row>
    <row r="931">
      <c r="P931" s="85"/>
    </row>
    <row r="932">
      <c r="P932" s="85"/>
    </row>
    <row r="933">
      <c r="P933" s="85"/>
    </row>
    <row r="934">
      <c r="P934" s="85"/>
    </row>
    <row r="935">
      <c r="P935" s="85"/>
    </row>
    <row r="936">
      <c r="P936" s="85"/>
    </row>
    <row r="937">
      <c r="P937" s="85"/>
    </row>
    <row r="938">
      <c r="P938" s="85"/>
    </row>
    <row r="939">
      <c r="P939" s="85"/>
    </row>
    <row r="940">
      <c r="P940" s="85"/>
    </row>
    <row r="941">
      <c r="P941" s="85"/>
    </row>
    <row r="942">
      <c r="P942" s="85"/>
    </row>
    <row r="943">
      <c r="P943" s="85"/>
    </row>
    <row r="944">
      <c r="P944" s="85"/>
    </row>
    <row r="945">
      <c r="P945" s="85"/>
    </row>
    <row r="946">
      <c r="P946" s="85"/>
    </row>
    <row r="947">
      <c r="P947" s="85"/>
    </row>
    <row r="948">
      <c r="P948" s="85"/>
    </row>
    <row r="949">
      <c r="P949" s="85"/>
    </row>
    <row r="950">
      <c r="P950" s="85"/>
    </row>
    <row r="951">
      <c r="P951" s="85"/>
    </row>
    <row r="952">
      <c r="P952" s="85"/>
    </row>
    <row r="953">
      <c r="P953" s="85"/>
    </row>
    <row r="954">
      <c r="P954" s="85"/>
    </row>
    <row r="955">
      <c r="P955" s="85"/>
    </row>
    <row r="956">
      <c r="P956" s="85"/>
    </row>
    <row r="957">
      <c r="P957" s="85"/>
    </row>
    <row r="958">
      <c r="P958" s="85"/>
    </row>
    <row r="959">
      <c r="P959" s="85"/>
    </row>
    <row r="960">
      <c r="P960" s="85"/>
    </row>
    <row r="961">
      <c r="P961" s="85"/>
    </row>
    <row r="962">
      <c r="P962" s="85"/>
    </row>
    <row r="963">
      <c r="P963" s="85"/>
    </row>
    <row r="964">
      <c r="P964" s="85"/>
    </row>
    <row r="965">
      <c r="P965" s="85"/>
    </row>
    <row r="966">
      <c r="P966" s="85"/>
    </row>
    <row r="967">
      <c r="P967" s="85"/>
    </row>
    <row r="968">
      <c r="P968" s="85"/>
    </row>
    <row r="969">
      <c r="P969" s="85"/>
    </row>
    <row r="970">
      <c r="P970" s="85"/>
    </row>
    <row r="971">
      <c r="P971" s="85"/>
    </row>
    <row r="972">
      <c r="P972" s="85"/>
    </row>
    <row r="973">
      <c r="P973" s="85"/>
    </row>
    <row r="974">
      <c r="P974" s="85"/>
    </row>
    <row r="975">
      <c r="P975" s="85"/>
    </row>
    <row r="976">
      <c r="P976" s="85"/>
    </row>
    <row r="977">
      <c r="P977" s="85"/>
    </row>
    <row r="978">
      <c r="P978" s="85"/>
    </row>
    <row r="979">
      <c r="P979" s="85"/>
    </row>
    <row r="980">
      <c r="P980" s="85"/>
    </row>
    <row r="981">
      <c r="P981" s="85"/>
    </row>
    <row r="982">
      <c r="P982" s="85"/>
    </row>
    <row r="983">
      <c r="P983" s="85"/>
    </row>
    <row r="984">
      <c r="P984" s="85"/>
    </row>
    <row r="985">
      <c r="P985" s="85"/>
    </row>
    <row r="986">
      <c r="P986" s="85"/>
    </row>
    <row r="987">
      <c r="P987" s="85"/>
    </row>
    <row r="988">
      <c r="P988" s="85"/>
    </row>
    <row r="989">
      <c r="P989" s="85"/>
    </row>
    <row r="990">
      <c r="P990" s="85"/>
    </row>
    <row r="991">
      <c r="P991" s="85"/>
    </row>
    <row r="992">
      <c r="P992" s="85"/>
    </row>
    <row r="993">
      <c r="P993" s="85"/>
    </row>
    <row r="994">
      <c r="P994" s="85"/>
    </row>
    <row r="995">
      <c r="P995" s="85"/>
    </row>
    <row r="996">
      <c r="P996" s="85"/>
    </row>
    <row r="997">
      <c r="P997" s="85"/>
    </row>
    <row r="998">
      <c r="P998" s="85"/>
    </row>
    <row r="999">
      <c r="P999" s="85"/>
    </row>
    <row r="1000">
      <c r="P1000" s="85"/>
    </row>
  </sheetData>
  <mergeCells count="7">
    <mergeCell ref="B3:C3"/>
    <mergeCell ref="F3:AE3"/>
    <mergeCell ref="G4:M4"/>
    <mergeCell ref="P4:V4"/>
    <mergeCell ref="Y4:AE4"/>
    <mergeCell ref="AI11:AJ11"/>
    <mergeCell ref="F24:AE24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130" t="s">
        <v>235</v>
      </c>
      <c r="F1" s="66"/>
    </row>
    <row r="2">
      <c r="A2" s="119" t="s">
        <v>236</v>
      </c>
      <c r="B2" s="130" t="s">
        <v>237</v>
      </c>
      <c r="F2" s="66"/>
      <c r="G2" s="106" t="s">
        <v>204</v>
      </c>
    </row>
    <row r="3">
      <c r="A3" s="131">
        <v>0.3958333333333333</v>
      </c>
      <c r="B3" s="64" t="s">
        <v>146</v>
      </c>
      <c r="C3" s="60" t="s">
        <v>158</v>
      </c>
      <c r="D3" s="70" t="s">
        <v>238</v>
      </c>
      <c r="E3" s="62" t="s">
        <v>133</v>
      </c>
      <c r="F3" s="72" t="s">
        <v>239</v>
      </c>
      <c r="G3" s="39">
        <v>0.6666666666666666</v>
      </c>
    </row>
    <row r="4">
      <c r="A4" s="131">
        <v>0.4027777777777778</v>
      </c>
      <c r="B4" s="62" t="s">
        <v>155</v>
      </c>
      <c r="C4" s="70" t="s">
        <v>200</v>
      </c>
      <c r="D4" s="60" t="s">
        <v>177</v>
      </c>
      <c r="E4" s="64" t="s">
        <v>152</v>
      </c>
      <c r="F4" s="72" t="s">
        <v>240</v>
      </c>
      <c r="G4" s="39">
        <v>0.6736111111111112</v>
      </c>
    </row>
    <row r="5">
      <c r="A5" s="131">
        <v>0.4097222222222222</v>
      </c>
      <c r="B5" s="132" t="s">
        <v>139</v>
      </c>
      <c r="C5" s="64" t="s">
        <v>171</v>
      </c>
      <c r="D5" s="70" t="s">
        <v>165</v>
      </c>
      <c r="E5" s="62" t="s">
        <v>140</v>
      </c>
      <c r="F5" s="72" t="s">
        <v>241</v>
      </c>
      <c r="G5" s="120">
        <v>420.0</v>
      </c>
    </row>
    <row r="6">
      <c r="A6" s="131">
        <v>0.4166666666666667</v>
      </c>
      <c r="B6" s="132" t="s">
        <v>136</v>
      </c>
      <c r="C6" s="62" t="s">
        <v>162</v>
      </c>
      <c r="D6" s="64" t="s">
        <v>123</v>
      </c>
      <c r="E6" s="70" t="s">
        <v>127</v>
      </c>
      <c r="F6" s="72" t="s">
        <v>242</v>
      </c>
      <c r="G6" s="106">
        <v>430.0</v>
      </c>
    </row>
    <row r="7">
      <c r="A7" s="131">
        <v>0.4236111111111111</v>
      </c>
      <c r="B7" s="70" t="s">
        <v>143</v>
      </c>
      <c r="C7" s="62" t="s">
        <v>174</v>
      </c>
      <c r="D7" s="60" t="s">
        <v>243</v>
      </c>
      <c r="E7" s="64" t="s">
        <v>149</v>
      </c>
      <c r="F7" s="72" t="s">
        <v>244</v>
      </c>
      <c r="G7" s="106">
        <v>440.0</v>
      </c>
    </row>
    <row r="8">
      <c r="A8" s="131">
        <v>0.4305555555555556</v>
      </c>
      <c r="B8" s="70" t="s">
        <v>103</v>
      </c>
      <c r="C8" s="133" t="s">
        <v>102</v>
      </c>
      <c r="D8" s="64" t="s">
        <v>101</v>
      </c>
      <c r="E8" s="62" t="s">
        <v>104</v>
      </c>
      <c r="F8" s="72" t="s">
        <v>245</v>
      </c>
      <c r="G8" s="106">
        <v>450.0</v>
      </c>
    </row>
    <row r="9">
      <c r="A9" s="66"/>
      <c r="B9" s="66"/>
      <c r="C9" s="66"/>
      <c r="D9" s="66"/>
      <c r="E9" s="66"/>
      <c r="F9" s="66"/>
    </row>
    <row r="10">
      <c r="A10" s="66"/>
      <c r="B10" s="66"/>
      <c r="C10" s="66"/>
      <c r="D10" s="66"/>
      <c r="E10" s="66"/>
      <c r="F10" s="66"/>
    </row>
    <row r="11">
      <c r="A11" s="119" t="s">
        <v>246</v>
      </c>
      <c r="B11" s="130" t="s">
        <v>247</v>
      </c>
      <c r="F11" s="66"/>
    </row>
    <row r="12">
      <c r="A12" s="131">
        <v>0.2986111111111111</v>
      </c>
      <c r="B12" s="70" t="s">
        <v>103</v>
      </c>
      <c r="C12" s="70" t="s">
        <v>165</v>
      </c>
      <c r="D12" s="64" t="s">
        <v>101</v>
      </c>
      <c r="E12" s="64" t="s">
        <v>149</v>
      </c>
      <c r="F12" s="66"/>
    </row>
    <row r="13">
      <c r="A13" s="131">
        <v>0.3055555555555556</v>
      </c>
      <c r="B13" s="70" t="s">
        <v>127</v>
      </c>
      <c r="C13" s="70" t="s">
        <v>143</v>
      </c>
      <c r="D13" s="64" t="s">
        <v>146</v>
      </c>
      <c r="E13" s="64" t="s">
        <v>171</v>
      </c>
      <c r="F13" s="66"/>
    </row>
    <row r="14">
      <c r="A14" s="131">
        <v>0.3125</v>
      </c>
      <c r="B14" s="132" t="s">
        <v>136</v>
      </c>
      <c r="C14" s="133" t="s">
        <v>243</v>
      </c>
      <c r="D14" s="62" t="s">
        <v>162</v>
      </c>
      <c r="E14" s="62" t="s">
        <v>133</v>
      </c>
      <c r="F14" s="66"/>
    </row>
    <row r="15">
      <c r="A15" s="131">
        <v>0.3194444444444444</v>
      </c>
      <c r="B15" s="64" t="s">
        <v>123</v>
      </c>
      <c r="C15" s="64" t="s">
        <v>152</v>
      </c>
      <c r="D15" s="62" t="s">
        <v>104</v>
      </c>
      <c r="E15" s="62" t="s">
        <v>155</v>
      </c>
      <c r="F15" s="66"/>
    </row>
    <row r="16">
      <c r="A16" s="131">
        <v>0.3263888888888889</v>
      </c>
      <c r="B16" s="70" t="s">
        <v>238</v>
      </c>
      <c r="C16" s="70" t="s">
        <v>168</v>
      </c>
      <c r="D16" s="133" t="s">
        <v>102</v>
      </c>
      <c r="E16" s="133" t="s">
        <v>139</v>
      </c>
      <c r="F16" s="66"/>
    </row>
    <row r="17">
      <c r="A17" s="131">
        <v>0.3333333333333333</v>
      </c>
      <c r="B17" s="132" t="s">
        <v>158</v>
      </c>
      <c r="C17" s="133" t="s">
        <v>177</v>
      </c>
      <c r="D17" s="62" t="s">
        <v>174</v>
      </c>
      <c r="E17" s="62" t="s">
        <v>140</v>
      </c>
      <c r="F17" s="66"/>
    </row>
    <row r="18">
      <c r="A18" s="66"/>
      <c r="B18" s="66"/>
      <c r="C18" s="66"/>
      <c r="D18" s="66"/>
      <c r="E18" s="66"/>
      <c r="F18" s="66"/>
    </row>
    <row r="19">
      <c r="A19" s="66"/>
      <c r="B19" s="66"/>
      <c r="C19" s="66"/>
      <c r="D19" s="66"/>
      <c r="E19" s="66"/>
      <c r="F19" s="66"/>
    </row>
    <row r="20">
      <c r="A20" s="119" t="s">
        <v>248</v>
      </c>
      <c r="B20" s="130" t="s">
        <v>249</v>
      </c>
      <c r="F20" s="66"/>
    </row>
    <row r="21">
      <c r="A21" s="131">
        <v>0.3680555555555556</v>
      </c>
      <c r="B21" s="62" t="s">
        <v>104</v>
      </c>
      <c r="C21" s="62" t="s">
        <v>162</v>
      </c>
      <c r="D21" s="70" t="s">
        <v>103</v>
      </c>
      <c r="E21" s="70" t="s">
        <v>127</v>
      </c>
      <c r="F21" s="66"/>
    </row>
    <row r="22">
      <c r="A22" s="131">
        <v>0.375</v>
      </c>
      <c r="B22" s="64" t="s">
        <v>101</v>
      </c>
      <c r="C22" s="64" t="s">
        <v>123</v>
      </c>
      <c r="D22" s="133" t="s">
        <v>102</v>
      </c>
      <c r="E22" s="133" t="s">
        <v>136</v>
      </c>
      <c r="F22" s="66"/>
    </row>
    <row r="23">
      <c r="A23" s="131">
        <v>0.3819444444444444</v>
      </c>
      <c r="B23" s="132" t="s">
        <v>158</v>
      </c>
      <c r="C23" s="133" t="s">
        <v>139</v>
      </c>
      <c r="D23" s="133" t="s">
        <v>159</v>
      </c>
      <c r="E23" s="133" t="s">
        <v>177</v>
      </c>
      <c r="F23" s="66"/>
    </row>
    <row r="24">
      <c r="A24" s="131">
        <v>0.3888888888888889</v>
      </c>
      <c r="B24" s="64" t="s">
        <v>146</v>
      </c>
      <c r="C24" s="64" t="s">
        <v>171</v>
      </c>
      <c r="D24" s="64" t="s">
        <v>149</v>
      </c>
      <c r="E24" s="64" t="s">
        <v>168</v>
      </c>
      <c r="F24" s="66"/>
    </row>
    <row r="25">
      <c r="A25" s="131">
        <v>0.3958333333333333</v>
      </c>
      <c r="B25" s="62" t="s">
        <v>133</v>
      </c>
      <c r="C25" s="62" t="s">
        <v>140</v>
      </c>
      <c r="D25" s="62" t="s">
        <v>174</v>
      </c>
      <c r="E25" s="62" t="s">
        <v>155</v>
      </c>
      <c r="F25" s="66"/>
    </row>
    <row r="26">
      <c r="A26" s="131">
        <v>0.4027777777777778</v>
      </c>
      <c r="B26" s="70" t="s">
        <v>243</v>
      </c>
      <c r="C26" s="70" t="s">
        <v>165</v>
      </c>
      <c r="D26" s="70" t="s">
        <v>143</v>
      </c>
      <c r="E26" s="70" t="s">
        <v>152</v>
      </c>
      <c r="F26" s="66"/>
    </row>
  </sheetData>
  <mergeCells count="4">
    <mergeCell ref="A1:E1"/>
    <mergeCell ref="B2:E2"/>
    <mergeCell ref="B11:E11"/>
    <mergeCell ref="B20:E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0.38"/>
    <col customWidth="1" min="3" max="3" width="30.63"/>
  </cols>
  <sheetData>
    <row r="1">
      <c r="A1" s="134" t="s">
        <v>250</v>
      </c>
      <c r="B1" s="66"/>
      <c r="C1" s="71" t="s">
        <v>251</v>
      </c>
      <c r="D1" s="71" t="s">
        <v>252</v>
      </c>
      <c r="E1" s="66"/>
      <c r="F1" s="66"/>
    </row>
    <row r="2">
      <c r="A2" s="135"/>
      <c r="B2" s="66"/>
      <c r="C2" s="84" t="s">
        <v>253</v>
      </c>
      <c r="D2" s="84" t="s">
        <v>254</v>
      </c>
      <c r="E2" s="66"/>
      <c r="F2" s="66"/>
    </row>
    <row r="3">
      <c r="A3" s="106" t="s">
        <v>255</v>
      </c>
      <c r="B3" s="66"/>
      <c r="C3" s="84" t="s">
        <v>256</v>
      </c>
      <c r="D3" s="84" t="s">
        <v>257</v>
      </c>
      <c r="E3" s="66"/>
      <c r="F3" s="66"/>
    </row>
    <row r="4">
      <c r="A4" s="106"/>
      <c r="B4" s="66"/>
      <c r="C4" s="84" t="s">
        <v>258</v>
      </c>
      <c r="D4" s="84" t="s">
        <v>259</v>
      </c>
      <c r="E4" s="66"/>
      <c r="F4" s="66"/>
    </row>
    <row r="5">
      <c r="A5" s="106" t="s">
        <v>260</v>
      </c>
      <c r="B5" s="66"/>
      <c r="C5" s="84" t="s">
        <v>261</v>
      </c>
      <c r="D5" s="84" t="s">
        <v>262</v>
      </c>
      <c r="E5" s="66"/>
      <c r="F5" s="66"/>
    </row>
    <row r="6">
      <c r="A6" s="106"/>
      <c r="B6" s="66"/>
      <c r="C6" s="66"/>
      <c r="D6" s="66"/>
      <c r="E6" s="66"/>
      <c r="F6" s="66"/>
    </row>
    <row r="7">
      <c r="A7" s="106" t="s">
        <v>263</v>
      </c>
      <c r="B7" s="66"/>
      <c r="C7" s="66"/>
      <c r="D7" s="66"/>
      <c r="E7" s="66"/>
      <c r="F7" s="66"/>
    </row>
    <row r="8">
      <c r="A8" s="106"/>
      <c r="B8" s="66"/>
      <c r="C8" s="66"/>
      <c r="D8" s="66"/>
      <c r="E8" s="66"/>
      <c r="F8" s="66"/>
    </row>
    <row r="9">
      <c r="A9" s="106" t="s">
        <v>264</v>
      </c>
      <c r="B9" s="66"/>
      <c r="C9" s="66"/>
      <c r="D9" s="66"/>
      <c r="E9" s="66"/>
      <c r="F9" s="66"/>
    </row>
    <row r="10">
      <c r="B10" s="66"/>
      <c r="C10" s="66"/>
      <c r="D10" s="66"/>
      <c r="E10" s="66"/>
      <c r="F10" s="66"/>
    </row>
    <row r="11">
      <c r="A11" s="106" t="s">
        <v>265</v>
      </c>
      <c r="B11" s="66"/>
      <c r="C11" s="66"/>
      <c r="D11" s="66"/>
      <c r="E11" s="66"/>
      <c r="F11" s="66"/>
    </row>
    <row r="12">
      <c r="B12" s="66"/>
      <c r="C12" s="66"/>
      <c r="D12" s="66"/>
      <c r="E12" s="66"/>
      <c r="F12" s="66"/>
    </row>
    <row r="13">
      <c r="A13" s="136" t="s">
        <v>266</v>
      </c>
      <c r="B13" s="66"/>
      <c r="C13" s="66"/>
      <c r="D13" s="66"/>
      <c r="E13" s="66"/>
      <c r="F13" s="66"/>
    </row>
    <row r="14">
      <c r="A14" s="66"/>
      <c r="B14" s="66"/>
      <c r="C14" s="66"/>
      <c r="D14" s="66"/>
      <c r="E14" s="66"/>
      <c r="F14" s="66"/>
    </row>
    <row r="15">
      <c r="A15" s="106" t="s">
        <v>267</v>
      </c>
      <c r="B15" s="66"/>
      <c r="C15" s="66"/>
      <c r="D15" s="66"/>
      <c r="E15" s="66"/>
      <c r="F15" s="66"/>
    </row>
    <row r="16">
      <c r="A16" s="106"/>
      <c r="B16" s="66"/>
      <c r="C16" s="66"/>
      <c r="D16" s="66"/>
      <c r="E16" s="66"/>
      <c r="F16" s="66"/>
    </row>
    <row r="17">
      <c r="A17" s="106" t="s">
        <v>268</v>
      </c>
      <c r="B17" s="66"/>
      <c r="C17" s="66"/>
      <c r="D17" s="66"/>
      <c r="E17" s="66"/>
      <c r="F17" s="66"/>
    </row>
    <row r="18">
      <c r="A18" s="106"/>
      <c r="B18" s="66"/>
      <c r="C18" s="66"/>
      <c r="D18" s="66"/>
      <c r="E18" s="66"/>
      <c r="F18" s="66"/>
    </row>
    <row r="19">
      <c r="A19" s="106" t="s">
        <v>269</v>
      </c>
      <c r="B19" s="66"/>
      <c r="C19" s="66"/>
      <c r="D19" s="66"/>
      <c r="E19" s="66"/>
      <c r="F19" s="66"/>
    </row>
    <row r="20">
      <c r="A20" s="106"/>
      <c r="B20" s="66"/>
      <c r="C20" s="66"/>
      <c r="D20" s="66"/>
      <c r="E20" s="66"/>
      <c r="F20" s="66"/>
    </row>
    <row r="21">
      <c r="A21" s="106" t="s">
        <v>270</v>
      </c>
      <c r="B21" s="66"/>
      <c r="C21" s="66"/>
      <c r="D21" s="66"/>
      <c r="E21" s="66"/>
      <c r="F21" s="66"/>
    </row>
    <row r="22">
      <c r="A22" s="106"/>
      <c r="B22" s="66"/>
      <c r="C22" s="66"/>
      <c r="D22" s="66"/>
      <c r="E22" s="66"/>
      <c r="F22" s="66"/>
    </row>
    <row r="23">
      <c r="A23" s="106" t="s">
        <v>271</v>
      </c>
      <c r="B23" s="66"/>
      <c r="C23" s="66"/>
      <c r="D23" s="66"/>
      <c r="E23" s="66"/>
      <c r="F23" s="66"/>
    </row>
    <row r="24">
      <c r="A24" s="106"/>
      <c r="B24" s="66"/>
      <c r="C24" s="66"/>
      <c r="D24" s="66"/>
      <c r="E24" s="66"/>
      <c r="F24" s="66"/>
    </row>
    <row r="25">
      <c r="A25" s="106" t="s">
        <v>272</v>
      </c>
      <c r="B25" s="66"/>
      <c r="C25" s="66"/>
      <c r="D25" s="66"/>
      <c r="E25" s="66"/>
      <c r="F25" s="66"/>
    </row>
    <row r="26">
      <c r="A26" s="106"/>
      <c r="B26" s="66"/>
      <c r="C26" s="66"/>
      <c r="D26" s="66"/>
      <c r="E26" s="66"/>
      <c r="F26" s="66"/>
    </row>
    <row r="27">
      <c r="A27" s="106" t="s">
        <v>273</v>
      </c>
      <c r="B27" s="66"/>
      <c r="C27" s="66"/>
      <c r="D27" s="66"/>
      <c r="E27" s="66"/>
      <c r="F27" s="66"/>
    </row>
    <row r="28">
      <c r="A28" s="106"/>
      <c r="B28" s="66"/>
      <c r="C28" s="66"/>
      <c r="D28" s="66"/>
      <c r="E28" s="66"/>
      <c r="F28" s="66"/>
    </row>
    <row r="29">
      <c r="A29" s="106" t="s">
        <v>274</v>
      </c>
      <c r="B29" s="66"/>
      <c r="C29" s="66"/>
      <c r="D29" s="66"/>
      <c r="E29" s="66"/>
      <c r="F29" s="66"/>
    </row>
    <row r="30">
      <c r="A30" s="66"/>
      <c r="B30" s="66"/>
      <c r="C30" s="66"/>
      <c r="D30" s="66"/>
      <c r="E30" s="66"/>
      <c r="F30" s="66"/>
    </row>
    <row r="31">
      <c r="A31" s="137" t="s">
        <v>275</v>
      </c>
      <c r="B31" s="66"/>
      <c r="C31" s="66"/>
      <c r="D31" s="66"/>
      <c r="E31" s="66"/>
      <c r="F31" s="66"/>
    </row>
    <row r="32">
      <c r="A32" s="66"/>
      <c r="B32" s="66"/>
      <c r="C32" s="66"/>
      <c r="D32" s="66"/>
      <c r="E32" s="66"/>
      <c r="F32" s="66"/>
    </row>
    <row r="33">
      <c r="A33" s="106" t="s">
        <v>267</v>
      </c>
      <c r="B33" s="66"/>
      <c r="C33" s="66"/>
      <c r="D33" s="66"/>
      <c r="E33" s="66"/>
      <c r="F33" s="66"/>
    </row>
    <row r="34">
      <c r="A34" s="106"/>
      <c r="B34" s="66"/>
      <c r="C34" s="66"/>
      <c r="D34" s="66"/>
      <c r="E34" s="66"/>
      <c r="F34" s="66"/>
    </row>
    <row r="35">
      <c r="A35" s="106" t="s">
        <v>276</v>
      </c>
      <c r="B35" s="66"/>
      <c r="C35" s="66"/>
      <c r="D35" s="66"/>
      <c r="E35" s="66"/>
      <c r="F35" s="66"/>
    </row>
    <row r="36">
      <c r="B36" s="66"/>
      <c r="C36" s="66"/>
      <c r="D36" s="66"/>
      <c r="E36" s="66"/>
      <c r="F36" s="66"/>
    </row>
    <row r="37">
      <c r="A37" s="106" t="s">
        <v>277</v>
      </c>
      <c r="B37" s="66"/>
      <c r="C37" s="66"/>
      <c r="D37" s="66"/>
      <c r="E37" s="66"/>
      <c r="F37" s="66"/>
    </row>
    <row r="38">
      <c r="A38" s="106"/>
      <c r="B38" s="66"/>
      <c r="C38" s="66"/>
      <c r="D38" s="66"/>
      <c r="E38" s="66"/>
      <c r="F38" s="66"/>
    </row>
    <row r="39">
      <c r="A39" s="106" t="s">
        <v>278</v>
      </c>
      <c r="B39" s="66"/>
      <c r="C39" s="66"/>
      <c r="D39" s="66"/>
      <c r="E39" s="66"/>
      <c r="F39" s="66"/>
    </row>
    <row r="40">
      <c r="A40" s="106"/>
      <c r="B40" s="66"/>
      <c r="C40" s="66"/>
      <c r="D40" s="66"/>
      <c r="E40" s="66"/>
      <c r="F40" s="66"/>
    </row>
    <row r="41">
      <c r="A41" s="106" t="s">
        <v>279</v>
      </c>
      <c r="B41" s="66"/>
      <c r="C41" s="66"/>
      <c r="D41" s="66"/>
      <c r="E41" s="66"/>
      <c r="F41" s="66"/>
    </row>
    <row r="42">
      <c r="B42" s="66"/>
      <c r="C42" s="66"/>
      <c r="D42" s="66"/>
      <c r="E42" s="66"/>
      <c r="F42" s="66"/>
    </row>
    <row r="43">
      <c r="A43" s="106" t="s">
        <v>280</v>
      </c>
      <c r="B43" s="66"/>
      <c r="C43" s="66"/>
      <c r="D43" s="66"/>
      <c r="E43" s="66"/>
      <c r="F43" s="66"/>
    </row>
    <row r="44">
      <c r="A44" s="66"/>
      <c r="B44" s="66"/>
      <c r="C44" s="66"/>
      <c r="D44" s="66"/>
      <c r="E44" s="66"/>
      <c r="F44" s="66"/>
    </row>
    <row r="45">
      <c r="A45" s="138" t="s">
        <v>281</v>
      </c>
      <c r="B45" s="66"/>
      <c r="C45" s="66"/>
      <c r="D45" s="66"/>
      <c r="E45" s="66"/>
      <c r="F45" s="66"/>
    </row>
    <row r="46">
      <c r="A46" s="66"/>
      <c r="B46" s="66"/>
      <c r="C46" s="66"/>
      <c r="D46" s="66"/>
      <c r="E46" s="66"/>
      <c r="F46" s="66"/>
    </row>
    <row r="47">
      <c r="A47" s="106" t="s">
        <v>282</v>
      </c>
      <c r="B47" s="66"/>
      <c r="C47" s="66"/>
      <c r="D47" s="66"/>
      <c r="E47" s="66"/>
      <c r="F47" s="66"/>
    </row>
    <row r="48">
      <c r="B48" s="66"/>
      <c r="C48" s="66"/>
      <c r="D48" s="66"/>
      <c r="E48" s="66"/>
      <c r="F48" s="66"/>
    </row>
    <row r="49">
      <c r="B49" s="66"/>
      <c r="C49" s="66"/>
      <c r="D49" s="66"/>
      <c r="E49" s="66"/>
      <c r="F49" s="66"/>
    </row>
    <row r="50">
      <c r="B50" s="66"/>
      <c r="C50" s="66"/>
      <c r="D50" s="66"/>
      <c r="E50" s="66"/>
      <c r="F50" s="66"/>
    </row>
    <row r="51">
      <c r="B51" s="66"/>
      <c r="C51" s="66"/>
      <c r="D51" s="66"/>
      <c r="E51" s="66"/>
      <c r="F51" s="6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3" max="3" width="19.5"/>
    <col customWidth="1" min="4" max="4" width="31.5"/>
  </cols>
  <sheetData>
    <row r="1">
      <c r="A1" s="139" t="s">
        <v>283</v>
      </c>
      <c r="B1" s="139" t="s">
        <v>10</v>
      </c>
      <c r="C1" s="139" t="s">
        <v>284</v>
      </c>
      <c r="D1" s="139" t="s">
        <v>285</v>
      </c>
    </row>
    <row r="2">
      <c r="A2" s="140" t="s">
        <v>286</v>
      </c>
      <c r="B2" s="141">
        <v>0.5208333333333334</v>
      </c>
      <c r="C2" s="140" t="s">
        <v>287</v>
      </c>
      <c r="D2" s="140" t="s">
        <v>288</v>
      </c>
    </row>
    <row r="3">
      <c r="A3" s="140" t="s">
        <v>289</v>
      </c>
      <c r="B3" s="141">
        <v>0.3333333333333333</v>
      </c>
      <c r="C3" s="140" t="s">
        <v>290</v>
      </c>
      <c r="D3" s="140" t="s">
        <v>291</v>
      </c>
    </row>
    <row r="4">
      <c r="A4" s="140" t="s">
        <v>289</v>
      </c>
      <c r="B4" s="141">
        <v>0.5763888888888888</v>
      </c>
      <c r="C4" s="140" t="s">
        <v>292</v>
      </c>
      <c r="D4" s="140" t="s">
        <v>293</v>
      </c>
    </row>
    <row r="5">
      <c r="A5" s="140" t="s">
        <v>294</v>
      </c>
      <c r="B5" s="141">
        <v>0.2708333333333333</v>
      </c>
      <c r="C5" s="140" t="s">
        <v>295</v>
      </c>
      <c r="D5" s="140" t="s">
        <v>296</v>
      </c>
    </row>
    <row r="6">
      <c r="A6" s="140" t="s">
        <v>294</v>
      </c>
      <c r="B6" s="141">
        <v>0.5277777777777778</v>
      </c>
      <c r="C6" s="140" t="s">
        <v>297</v>
      </c>
      <c r="D6" s="140" t="s">
        <v>298</v>
      </c>
    </row>
    <row r="7">
      <c r="A7" s="140" t="s">
        <v>294</v>
      </c>
      <c r="B7" s="39">
        <v>0.7361111111111112</v>
      </c>
      <c r="C7" s="106" t="s">
        <v>297</v>
      </c>
      <c r="D7" s="106" t="s">
        <v>299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5"/>
    <col customWidth="1" min="2" max="2" width="13.38"/>
    <col customWidth="1" min="3" max="3" width="25.63"/>
    <col customWidth="1" min="4" max="4" width="33.63"/>
    <col customWidth="1" min="5" max="5" width="31.38"/>
  </cols>
  <sheetData>
    <row r="1">
      <c r="A1" s="142" t="s">
        <v>300</v>
      </c>
      <c r="B1" s="11"/>
      <c r="C1" s="143" t="s">
        <v>301</v>
      </c>
      <c r="D1" s="143" t="s">
        <v>302</v>
      </c>
      <c r="E1" s="143" t="s">
        <v>303</v>
      </c>
    </row>
    <row r="2">
      <c r="A2" s="144" t="s">
        <v>304</v>
      </c>
      <c r="B2" s="145" t="s">
        <v>305</v>
      </c>
      <c r="C2" s="146" t="s">
        <v>16</v>
      </c>
      <c r="D2" s="147"/>
      <c r="E2" s="147"/>
    </row>
    <row r="3">
      <c r="A3" s="148" t="s">
        <v>304</v>
      </c>
      <c r="B3" s="145" t="s">
        <v>306</v>
      </c>
      <c r="C3" s="146" t="s">
        <v>16</v>
      </c>
      <c r="D3" s="147"/>
      <c r="E3" s="147"/>
    </row>
    <row r="4">
      <c r="A4" s="148" t="s">
        <v>304</v>
      </c>
      <c r="B4" s="145" t="s">
        <v>307</v>
      </c>
      <c r="C4" s="146" t="s">
        <v>16</v>
      </c>
      <c r="D4" s="146"/>
      <c r="E4" s="146"/>
    </row>
    <row r="5">
      <c r="A5" s="149" t="s">
        <v>304</v>
      </c>
      <c r="B5" s="150" t="s">
        <v>308</v>
      </c>
      <c r="C5" s="146" t="s">
        <v>16</v>
      </c>
      <c r="D5" s="147"/>
      <c r="E5" s="147"/>
    </row>
    <row r="6">
      <c r="A6" s="144" t="s">
        <v>309</v>
      </c>
      <c r="B6" s="151" t="s">
        <v>310</v>
      </c>
      <c r="C6" s="152" t="s">
        <v>16</v>
      </c>
      <c r="D6" s="153"/>
      <c r="E6" s="153"/>
    </row>
    <row r="7">
      <c r="A7" s="148" t="s">
        <v>309</v>
      </c>
      <c r="B7" s="145" t="s">
        <v>311</v>
      </c>
      <c r="C7" s="146" t="s">
        <v>16</v>
      </c>
      <c r="D7" s="146"/>
      <c r="E7" s="146"/>
    </row>
    <row r="8">
      <c r="A8" s="148" t="s">
        <v>309</v>
      </c>
      <c r="B8" s="145" t="s">
        <v>312</v>
      </c>
      <c r="C8" s="146" t="s">
        <v>16</v>
      </c>
      <c r="D8" s="146"/>
      <c r="E8" s="146"/>
    </row>
    <row r="9">
      <c r="A9" s="149" t="s">
        <v>309</v>
      </c>
      <c r="B9" s="150" t="s">
        <v>313</v>
      </c>
      <c r="C9" s="154" t="s">
        <v>16</v>
      </c>
      <c r="D9" s="154"/>
      <c r="E9" s="154"/>
    </row>
    <row r="10">
      <c r="A10" s="144" t="s">
        <v>314</v>
      </c>
      <c r="B10" s="151" t="s">
        <v>315</v>
      </c>
      <c r="C10" s="152" t="s">
        <v>16</v>
      </c>
      <c r="D10" s="153"/>
      <c r="E10" s="153"/>
    </row>
    <row r="11">
      <c r="A11" s="148" t="s">
        <v>314</v>
      </c>
      <c r="B11" s="145" t="s">
        <v>316</v>
      </c>
      <c r="C11" s="146" t="s">
        <v>16</v>
      </c>
      <c r="D11" s="146"/>
      <c r="E11" s="146"/>
    </row>
    <row r="12">
      <c r="A12" s="148" t="s">
        <v>314</v>
      </c>
      <c r="B12" s="145" t="s">
        <v>317</v>
      </c>
      <c r="C12" s="146" t="s">
        <v>16</v>
      </c>
      <c r="D12" s="146"/>
      <c r="E12" s="146"/>
    </row>
    <row r="13">
      <c r="A13" s="149" t="s">
        <v>314</v>
      </c>
      <c r="B13" s="150" t="s">
        <v>318</v>
      </c>
      <c r="C13" s="154" t="s">
        <v>16</v>
      </c>
      <c r="D13" s="154"/>
      <c r="E13" s="154"/>
    </row>
    <row r="14">
      <c r="A14" s="144" t="s">
        <v>319</v>
      </c>
      <c r="B14" s="151" t="s">
        <v>320</v>
      </c>
      <c r="C14" s="152" t="s">
        <v>16</v>
      </c>
      <c r="D14" s="153"/>
      <c r="E14" s="153"/>
    </row>
    <row r="15">
      <c r="A15" s="148" t="s">
        <v>319</v>
      </c>
      <c r="B15" s="145" t="s">
        <v>321</v>
      </c>
      <c r="C15" s="146" t="s">
        <v>16</v>
      </c>
      <c r="D15" s="146"/>
      <c r="E15" s="146"/>
    </row>
    <row r="16">
      <c r="A16" s="148" t="s">
        <v>319</v>
      </c>
      <c r="B16" s="145" t="s">
        <v>322</v>
      </c>
      <c r="C16" s="146" t="s">
        <v>16</v>
      </c>
      <c r="D16" s="146"/>
      <c r="E16" s="146"/>
    </row>
    <row r="17">
      <c r="A17" s="149" t="s">
        <v>319</v>
      </c>
      <c r="B17" s="150" t="s">
        <v>323</v>
      </c>
      <c r="C17" s="154" t="s">
        <v>16</v>
      </c>
      <c r="D17" s="154"/>
      <c r="E17" s="154"/>
    </row>
    <row r="18">
      <c r="A18" s="144" t="s">
        <v>324</v>
      </c>
      <c r="B18" s="151" t="s">
        <v>325</v>
      </c>
      <c r="C18" s="146" t="s">
        <v>16</v>
      </c>
      <c r="D18" s="146"/>
      <c r="E18" s="146"/>
    </row>
    <row r="19">
      <c r="A19" s="148" t="s">
        <v>324</v>
      </c>
      <c r="B19" s="145" t="s">
        <v>326</v>
      </c>
      <c r="C19" s="146" t="s">
        <v>16</v>
      </c>
      <c r="D19" s="147"/>
      <c r="E19" s="147"/>
    </row>
    <row r="20">
      <c r="A20" s="148" t="s">
        <v>324</v>
      </c>
      <c r="B20" s="145" t="s">
        <v>327</v>
      </c>
      <c r="C20" s="146" t="s">
        <v>16</v>
      </c>
      <c r="D20" s="146"/>
      <c r="E20" s="146"/>
    </row>
    <row r="21">
      <c r="A21" s="149" t="s">
        <v>324</v>
      </c>
      <c r="B21" s="150" t="s">
        <v>328</v>
      </c>
      <c r="C21" s="154" t="s">
        <v>16</v>
      </c>
      <c r="D21" s="155"/>
      <c r="E21" s="155"/>
    </row>
    <row r="31">
      <c r="A31" s="156"/>
    </row>
    <row r="32">
      <c r="A32" s="157"/>
    </row>
    <row r="33">
      <c r="B33" s="158"/>
    </row>
  </sheetData>
  <mergeCells count="1">
    <mergeCell ref="A1:B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59" t="s">
        <v>329</v>
      </c>
      <c r="D1" s="160"/>
      <c r="E1" s="160"/>
      <c r="F1" s="160"/>
      <c r="G1" s="160"/>
      <c r="H1" s="160"/>
    </row>
    <row r="2">
      <c r="A2" s="160"/>
      <c r="B2" s="160"/>
      <c r="C2" s="160"/>
      <c r="D2" s="160"/>
      <c r="E2" s="160"/>
      <c r="F2" s="160"/>
      <c r="G2" s="160"/>
      <c r="H2" s="160"/>
    </row>
    <row r="3">
      <c r="A3" s="159" t="s">
        <v>330</v>
      </c>
      <c r="E3" s="160"/>
      <c r="F3" s="160"/>
      <c r="G3" s="160"/>
      <c r="H3" s="160"/>
    </row>
    <row r="4">
      <c r="A4" s="161">
        <v>0.5208333333333334</v>
      </c>
      <c r="B4" s="162" t="s">
        <v>162</v>
      </c>
      <c r="C4" s="162" t="s">
        <v>140</v>
      </c>
      <c r="D4" s="162" t="s">
        <v>101</v>
      </c>
      <c r="E4" s="162" t="s">
        <v>331</v>
      </c>
      <c r="F4" s="160"/>
      <c r="G4" s="160"/>
      <c r="H4" s="160"/>
    </row>
    <row r="5">
      <c r="A5" s="161">
        <v>0.5277777777777778</v>
      </c>
      <c r="B5" s="162" t="s">
        <v>149</v>
      </c>
      <c r="C5" s="162" t="s">
        <v>146</v>
      </c>
      <c r="D5" s="162" t="s">
        <v>136</v>
      </c>
      <c r="E5" s="162" t="s">
        <v>127</v>
      </c>
      <c r="F5" s="160"/>
      <c r="G5" s="160"/>
      <c r="H5" s="160"/>
    </row>
    <row r="6">
      <c r="A6" s="161">
        <v>0.5347222222222222</v>
      </c>
      <c r="B6" s="162" t="s">
        <v>155</v>
      </c>
      <c r="C6" s="162" t="s">
        <v>165</v>
      </c>
      <c r="D6" s="162" t="s">
        <v>332</v>
      </c>
      <c r="E6" s="162" t="s">
        <v>333</v>
      </c>
      <c r="F6" s="160"/>
      <c r="G6" s="160"/>
      <c r="H6" s="160"/>
    </row>
    <row r="7">
      <c r="A7" s="161">
        <v>0.041666666666666664</v>
      </c>
      <c r="B7" s="162" t="s">
        <v>102</v>
      </c>
      <c r="C7" s="162" t="s">
        <v>334</v>
      </c>
      <c r="D7" s="162" t="s">
        <v>158</v>
      </c>
      <c r="E7" s="162" t="s">
        <v>152</v>
      </c>
      <c r="F7" s="160"/>
      <c r="G7" s="160"/>
      <c r="H7" s="160"/>
    </row>
    <row r="8">
      <c r="A8" s="161">
        <v>0.04861111111111111</v>
      </c>
      <c r="B8" s="162" t="s">
        <v>200</v>
      </c>
      <c r="C8" s="162" t="s">
        <v>103</v>
      </c>
      <c r="D8" s="162" t="s">
        <v>174</v>
      </c>
      <c r="E8" s="162" t="s">
        <v>188</v>
      </c>
      <c r="F8" s="160"/>
      <c r="G8" s="160"/>
      <c r="H8" s="160"/>
    </row>
    <row r="9">
      <c r="A9" s="160"/>
      <c r="B9" s="160"/>
      <c r="C9" s="160"/>
      <c r="D9" s="160"/>
      <c r="E9" s="160"/>
      <c r="F9" s="160"/>
      <c r="G9" s="160"/>
      <c r="H9" s="160"/>
    </row>
    <row r="10">
      <c r="A10" s="159" t="s">
        <v>335</v>
      </c>
      <c r="D10" s="160"/>
      <c r="E10" s="160"/>
      <c r="F10" s="160"/>
      <c r="G10" s="160"/>
      <c r="H10" s="160"/>
    </row>
    <row r="11">
      <c r="A11" s="159" t="s">
        <v>237</v>
      </c>
      <c r="C11" s="160"/>
      <c r="D11" s="160"/>
      <c r="E11" s="160"/>
      <c r="F11" s="160"/>
      <c r="G11" s="160"/>
      <c r="H11" s="160"/>
    </row>
    <row r="12">
      <c r="A12" s="161">
        <v>0.3333333333333333</v>
      </c>
      <c r="B12" s="162" t="s">
        <v>188</v>
      </c>
      <c r="C12" s="162" t="s">
        <v>102</v>
      </c>
      <c r="D12" s="162" t="s">
        <v>333</v>
      </c>
      <c r="E12" s="162" t="s">
        <v>334</v>
      </c>
      <c r="F12" s="163" t="s">
        <v>245</v>
      </c>
      <c r="H12" s="160"/>
    </row>
    <row r="13">
      <c r="A13" s="161">
        <v>0.3402777777777778</v>
      </c>
      <c r="B13" s="162" t="s">
        <v>136</v>
      </c>
      <c r="C13" s="162" t="s">
        <v>336</v>
      </c>
      <c r="D13" s="162" t="s">
        <v>146</v>
      </c>
      <c r="E13" s="162" t="s">
        <v>174</v>
      </c>
      <c r="F13" s="163" t="s">
        <v>242</v>
      </c>
      <c r="H13" s="160"/>
    </row>
    <row r="14">
      <c r="A14" s="161">
        <v>0.3472222222222222</v>
      </c>
      <c r="B14" s="162" t="s">
        <v>127</v>
      </c>
      <c r="C14" s="162" t="s">
        <v>149</v>
      </c>
      <c r="D14" s="162" t="s">
        <v>101</v>
      </c>
      <c r="E14" s="162" t="s">
        <v>331</v>
      </c>
      <c r="F14" s="163" t="s">
        <v>239</v>
      </c>
      <c r="H14" s="160"/>
    </row>
    <row r="15">
      <c r="A15" s="161">
        <v>0.3541666666666667</v>
      </c>
      <c r="B15" s="162" t="s">
        <v>158</v>
      </c>
      <c r="C15" s="162" t="s">
        <v>103</v>
      </c>
      <c r="D15" s="162" t="s">
        <v>140</v>
      </c>
      <c r="E15" s="162" t="s">
        <v>165</v>
      </c>
      <c r="F15" s="163" t="s">
        <v>241</v>
      </c>
      <c r="H15" s="160"/>
    </row>
    <row r="16">
      <c r="A16" s="161">
        <v>0.3611111111111111</v>
      </c>
      <c r="B16" s="162" t="s">
        <v>152</v>
      </c>
      <c r="C16" s="162" t="s">
        <v>155</v>
      </c>
      <c r="D16" s="162" t="s">
        <v>200</v>
      </c>
      <c r="E16" s="162" t="s">
        <v>162</v>
      </c>
      <c r="F16" s="163" t="s">
        <v>244</v>
      </c>
      <c r="H16" s="160"/>
    </row>
    <row r="17">
      <c r="A17" s="160"/>
      <c r="B17" s="160"/>
      <c r="C17" s="160"/>
      <c r="D17" s="160"/>
      <c r="E17" s="160"/>
      <c r="F17" s="160"/>
      <c r="G17" s="160"/>
      <c r="H17" s="160"/>
    </row>
    <row r="18">
      <c r="A18" s="159" t="s">
        <v>337</v>
      </c>
      <c r="D18" s="160"/>
      <c r="E18" s="160"/>
      <c r="F18" s="160"/>
      <c r="G18" s="160"/>
      <c r="H18" s="160"/>
    </row>
    <row r="19">
      <c r="A19" s="161">
        <v>0.0763888888888889</v>
      </c>
      <c r="B19" s="162" t="s">
        <v>188</v>
      </c>
      <c r="C19" s="162" t="s">
        <v>102</v>
      </c>
      <c r="D19" s="162" t="s">
        <v>333</v>
      </c>
      <c r="E19" s="162" t="s">
        <v>334</v>
      </c>
      <c r="F19" s="163" t="s">
        <v>245</v>
      </c>
      <c r="H19" s="160"/>
    </row>
    <row r="20">
      <c r="A20" s="161">
        <v>0.08333333333333333</v>
      </c>
      <c r="B20" s="162" t="s">
        <v>136</v>
      </c>
      <c r="C20" s="162" t="s">
        <v>336</v>
      </c>
      <c r="D20" s="162" t="s">
        <v>146</v>
      </c>
      <c r="E20" s="162" t="s">
        <v>174</v>
      </c>
      <c r="F20" s="163" t="s">
        <v>242</v>
      </c>
      <c r="H20" s="160"/>
    </row>
    <row r="21">
      <c r="A21" s="161">
        <v>0.09027777777777778</v>
      </c>
      <c r="B21" s="162" t="s">
        <v>127</v>
      </c>
      <c r="C21" s="162" t="s">
        <v>149</v>
      </c>
      <c r="D21" s="162" t="s">
        <v>101</v>
      </c>
      <c r="E21" s="162" t="s">
        <v>331</v>
      </c>
      <c r="F21" s="163" t="s">
        <v>239</v>
      </c>
      <c r="H21" s="160"/>
    </row>
    <row r="22">
      <c r="A22" s="161">
        <v>0.09722222222222222</v>
      </c>
      <c r="B22" s="162" t="s">
        <v>158</v>
      </c>
      <c r="C22" s="162" t="s">
        <v>103</v>
      </c>
      <c r="D22" s="162" t="s">
        <v>140</v>
      </c>
      <c r="E22" s="162" t="s">
        <v>165</v>
      </c>
      <c r="F22" s="163" t="s">
        <v>241</v>
      </c>
      <c r="H22" s="160"/>
    </row>
    <row r="23">
      <c r="A23" s="161">
        <v>0.10416666666666667</v>
      </c>
      <c r="B23" s="162" t="s">
        <v>152</v>
      </c>
      <c r="C23" s="162" t="s">
        <v>155</v>
      </c>
      <c r="D23" s="162" t="s">
        <v>200</v>
      </c>
      <c r="E23" s="162" t="s">
        <v>162</v>
      </c>
      <c r="F23" s="163" t="s">
        <v>244</v>
      </c>
      <c r="H23" s="160"/>
    </row>
    <row r="24">
      <c r="A24" s="160"/>
      <c r="B24" s="160"/>
      <c r="C24" s="160"/>
      <c r="D24" s="160"/>
      <c r="E24" s="160"/>
      <c r="F24" s="160"/>
      <c r="G24" s="160"/>
      <c r="H24" s="160"/>
    </row>
    <row r="25">
      <c r="A25" s="159" t="s">
        <v>338</v>
      </c>
      <c r="E25" s="160"/>
      <c r="F25" s="160"/>
      <c r="G25" s="160"/>
      <c r="H25" s="160"/>
    </row>
    <row r="26">
      <c r="A26" s="161">
        <v>0.2708333333333333</v>
      </c>
      <c r="B26" s="162" t="s">
        <v>165</v>
      </c>
      <c r="C26" s="162" t="s">
        <v>174</v>
      </c>
      <c r="D26" s="162" t="s">
        <v>149</v>
      </c>
      <c r="E26" s="106" t="s">
        <v>200</v>
      </c>
      <c r="F26" s="163" t="s">
        <v>339</v>
      </c>
      <c r="I26" s="160"/>
    </row>
    <row r="27">
      <c r="A27" s="161">
        <v>0.2777777777777778</v>
      </c>
      <c r="B27" s="162" t="s">
        <v>136</v>
      </c>
      <c r="C27" s="162" t="s">
        <v>140</v>
      </c>
      <c r="D27" s="162" t="s">
        <v>334</v>
      </c>
      <c r="E27" s="106" t="s">
        <v>162</v>
      </c>
      <c r="F27" s="163" t="s">
        <v>340</v>
      </c>
      <c r="G27" s="160"/>
      <c r="H27" s="160"/>
      <c r="I27" s="160"/>
    </row>
    <row r="28">
      <c r="A28" s="161">
        <v>0.2847222222222222</v>
      </c>
      <c r="B28" s="162" t="s">
        <v>188</v>
      </c>
      <c r="C28" s="162" t="s">
        <v>158</v>
      </c>
      <c r="D28" s="162" t="s">
        <v>127</v>
      </c>
      <c r="E28" s="106" t="s">
        <v>152</v>
      </c>
      <c r="F28" s="163" t="s">
        <v>341</v>
      </c>
      <c r="G28" s="160"/>
      <c r="H28" s="160"/>
      <c r="I28" s="160"/>
    </row>
    <row r="29">
      <c r="A29" s="161">
        <v>0.2916666666666667</v>
      </c>
      <c r="B29" s="162" t="s">
        <v>342</v>
      </c>
      <c r="C29" s="162" t="s">
        <v>343</v>
      </c>
      <c r="D29" s="162" t="s">
        <v>155</v>
      </c>
      <c r="E29" s="106" t="s">
        <v>344</v>
      </c>
      <c r="F29" s="163" t="s">
        <v>345</v>
      </c>
      <c r="G29" s="160"/>
      <c r="H29" s="160"/>
      <c r="I29" s="160"/>
    </row>
    <row r="30">
      <c r="A30" s="161">
        <v>0.2986111111111111</v>
      </c>
      <c r="B30" s="162" t="s">
        <v>336</v>
      </c>
      <c r="C30" s="162" t="s">
        <v>101</v>
      </c>
      <c r="D30" s="162" t="s">
        <v>146</v>
      </c>
      <c r="E30" s="106" t="s">
        <v>331</v>
      </c>
      <c r="F30" s="163" t="s">
        <v>346</v>
      </c>
      <c r="G30" s="160"/>
      <c r="H30" s="160"/>
      <c r="I30" s="160"/>
    </row>
    <row r="31">
      <c r="A31" s="160"/>
      <c r="B31" s="160"/>
      <c r="C31" s="160"/>
      <c r="D31" s="160"/>
      <c r="E31" s="160"/>
      <c r="F31" s="160"/>
      <c r="G31" s="160"/>
      <c r="H31" s="160"/>
    </row>
    <row r="32">
      <c r="A32" s="160"/>
      <c r="B32" s="160"/>
      <c r="C32" s="160"/>
      <c r="D32" s="160"/>
      <c r="E32" s="160"/>
      <c r="F32" s="160"/>
      <c r="G32" s="160"/>
      <c r="H32" s="160"/>
    </row>
    <row r="33">
      <c r="A33" s="159" t="s">
        <v>347</v>
      </c>
      <c r="F33" s="160"/>
      <c r="G33" s="160"/>
      <c r="H33" s="160"/>
    </row>
    <row r="34">
      <c r="A34" s="161">
        <v>0.5277777777777778</v>
      </c>
      <c r="B34" s="162" t="s">
        <v>103</v>
      </c>
      <c r="C34" s="161"/>
      <c r="D34" s="160"/>
      <c r="E34" s="160"/>
    </row>
    <row r="35">
      <c r="A35" s="161">
        <v>0.5347222222222222</v>
      </c>
      <c r="B35" s="162" t="s">
        <v>188</v>
      </c>
      <c r="C35" s="161"/>
      <c r="D35" s="160"/>
      <c r="E35" s="160"/>
    </row>
    <row r="36">
      <c r="A36" s="161">
        <v>0.041666666666666664</v>
      </c>
      <c r="B36" s="162" t="s">
        <v>146</v>
      </c>
      <c r="C36" s="161"/>
      <c r="D36" s="160"/>
      <c r="E36" s="160"/>
    </row>
    <row r="37">
      <c r="A37" s="161">
        <v>0.04861111111111111</v>
      </c>
      <c r="B37" s="162" t="s">
        <v>336</v>
      </c>
      <c r="C37" s="161"/>
      <c r="D37" s="160"/>
      <c r="E37" s="160"/>
    </row>
    <row r="38">
      <c r="A38" s="161">
        <v>0.05555555555555555</v>
      </c>
      <c r="B38" s="162" t="s">
        <v>101</v>
      </c>
      <c r="C38" s="160"/>
      <c r="D38" s="160"/>
      <c r="E38" s="160"/>
    </row>
    <row r="39">
      <c r="A39" s="160"/>
      <c r="B39" s="160"/>
      <c r="C39" s="160"/>
      <c r="D39" s="160"/>
      <c r="E39" s="160"/>
      <c r="F39" s="160"/>
      <c r="G39" s="160"/>
      <c r="H39" s="160"/>
    </row>
    <row r="40">
      <c r="A40" s="159" t="s">
        <v>348</v>
      </c>
      <c r="F40" s="160"/>
      <c r="G40" s="160"/>
      <c r="H40" s="160"/>
    </row>
    <row r="41">
      <c r="A41" s="164">
        <v>0.2361111111111111</v>
      </c>
      <c r="B41" s="160"/>
      <c r="C41" s="160"/>
      <c r="D41" s="160"/>
      <c r="E41" s="160"/>
      <c r="F41" s="160"/>
      <c r="G41" s="160"/>
      <c r="H41" s="160"/>
    </row>
    <row r="42">
      <c r="A42" s="164">
        <v>0.24305555555555555</v>
      </c>
      <c r="B42" s="160"/>
      <c r="C42" s="160"/>
      <c r="D42" s="160"/>
      <c r="E42" s="160"/>
      <c r="F42" s="160"/>
      <c r="G42" s="160"/>
      <c r="H42" s="160"/>
    </row>
    <row r="43">
      <c r="A43" s="164">
        <v>0.25</v>
      </c>
      <c r="B43" s="160"/>
      <c r="C43" s="160"/>
      <c r="D43" s="160"/>
      <c r="E43" s="160"/>
      <c r="F43" s="160"/>
      <c r="G43" s="160"/>
      <c r="H43" s="160"/>
    </row>
    <row r="44">
      <c r="A44" s="164">
        <v>0.2569444444444444</v>
      </c>
      <c r="B44" s="160"/>
      <c r="C44" s="160"/>
      <c r="D44" s="160"/>
      <c r="E44" s="160"/>
      <c r="F44" s="160"/>
      <c r="G44" s="160"/>
      <c r="H44" s="160"/>
    </row>
    <row r="45">
      <c r="A45" s="164">
        <v>0.2638888888888889</v>
      </c>
      <c r="B45" s="160"/>
      <c r="C45" s="160"/>
      <c r="D45" s="160"/>
      <c r="E45" s="160"/>
      <c r="F45" s="160"/>
      <c r="G45" s="160"/>
      <c r="H45" s="160"/>
    </row>
  </sheetData>
  <mergeCells count="19">
    <mergeCell ref="A1:C1"/>
    <mergeCell ref="A3:D3"/>
    <mergeCell ref="A10:C10"/>
    <mergeCell ref="A11:B11"/>
    <mergeCell ref="F12:G12"/>
    <mergeCell ref="F13:G13"/>
    <mergeCell ref="F14:G14"/>
    <mergeCell ref="F23:G23"/>
    <mergeCell ref="A25:D25"/>
    <mergeCell ref="F26:H26"/>
    <mergeCell ref="A33:E33"/>
    <mergeCell ref="A40:E40"/>
    <mergeCell ref="F15:G15"/>
    <mergeCell ref="F16:G16"/>
    <mergeCell ref="A18:C18"/>
    <mergeCell ref="F19:G19"/>
    <mergeCell ref="F20:G20"/>
    <mergeCell ref="F21:G21"/>
    <mergeCell ref="F22:G2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5.88"/>
    <col hidden="1" min="3" max="3" width="12.63"/>
  </cols>
  <sheetData>
    <row r="1" ht="22.5" customHeight="1">
      <c r="A1" s="165" t="s">
        <v>59</v>
      </c>
      <c r="B1" s="165" t="s">
        <v>197</v>
      </c>
      <c r="C1" s="166" t="s">
        <v>349</v>
      </c>
      <c r="D1" s="166" t="s">
        <v>350</v>
      </c>
      <c r="E1" s="167" t="s">
        <v>351</v>
      </c>
    </row>
    <row r="2" ht="22.5" customHeight="1">
      <c r="A2" s="168" t="s">
        <v>321</v>
      </c>
      <c r="B2" s="169">
        <v>0.03</v>
      </c>
      <c r="C2" s="170">
        <f t="shared" ref="C2:C21" si="1">ROUND(B2*0.8,0)</f>
        <v>0</v>
      </c>
      <c r="D2" s="171">
        <f t="shared" ref="D2:D21" si="2">round(B2,0)</f>
        <v>0</v>
      </c>
      <c r="E2" s="172">
        <f t="shared" ref="E2:E21" si="3">round(B2/2,0)</f>
        <v>0</v>
      </c>
    </row>
    <row r="3" ht="22.5" customHeight="1">
      <c r="A3" s="168" t="s">
        <v>320</v>
      </c>
      <c r="B3" s="169">
        <v>3.8</v>
      </c>
      <c r="C3" s="170">
        <f t="shared" si="1"/>
        <v>3</v>
      </c>
      <c r="D3" s="171">
        <f t="shared" si="2"/>
        <v>4</v>
      </c>
      <c r="E3" s="172">
        <f t="shared" si="3"/>
        <v>2</v>
      </c>
    </row>
    <row r="4" ht="22.5" customHeight="1">
      <c r="A4" s="168" t="s">
        <v>327</v>
      </c>
      <c r="B4" s="169">
        <v>4.0</v>
      </c>
      <c r="C4" s="170">
        <f t="shared" si="1"/>
        <v>3</v>
      </c>
      <c r="D4" s="171">
        <f t="shared" si="2"/>
        <v>4</v>
      </c>
      <c r="E4" s="172">
        <f t="shared" si="3"/>
        <v>2</v>
      </c>
    </row>
    <row r="5" ht="22.5" customHeight="1">
      <c r="A5" s="168" t="s">
        <v>307</v>
      </c>
      <c r="B5" s="169">
        <v>5.2</v>
      </c>
      <c r="C5" s="170">
        <f t="shared" si="1"/>
        <v>4</v>
      </c>
      <c r="D5" s="171">
        <f t="shared" si="2"/>
        <v>5</v>
      </c>
      <c r="E5" s="172">
        <f t="shared" si="3"/>
        <v>3</v>
      </c>
    </row>
    <row r="6" ht="22.5" customHeight="1">
      <c r="A6" s="168" t="s">
        <v>317</v>
      </c>
      <c r="B6" s="169">
        <v>6.0</v>
      </c>
      <c r="C6" s="170">
        <f t="shared" si="1"/>
        <v>5</v>
      </c>
      <c r="D6" s="171">
        <f t="shared" si="2"/>
        <v>6</v>
      </c>
      <c r="E6" s="172">
        <f t="shared" si="3"/>
        <v>3</v>
      </c>
    </row>
    <row r="7" ht="22.5" customHeight="1">
      <c r="A7" s="168" t="s">
        <v>326</v>
      </c>
      <c r="B7" s="169">
        <v>7.4</v>
      </c>
      <c r="C7" s="170">
        <f t="shared" si="1"/>
        <v>6</v>
      </c>
      <c r="D7" s="171">
        <f t="shared" si="2"/>
        <v>7</v>
      </c>
      <c r="E7" s="172">
        <f t="shared" si="3"/>
        <v>4</v>
      </c>
    </row>
    <row r="8" ht="22.5" customHeight="1">
      <c r="A8" s="168" t="s">
        <v>305</v>
      </c>
      <c r="B8" s="169">
        <v>7.9</v>
      </c>
      <c r="C8" s="170">
        <f t="shared" si="1"/>
        <v>6</v>
      </c>
      <c r="D8" s="171">
        <f t="shared" si="2"/>
        <v>8</v>
      </c>
      <c r="E8" s="172">
        <f t="shared" si="3"/>
        <v>4</v>
      </c>
    </row>
    <row r="9" ht="22.5" customHeight="1">
      <c r="A9" s="168" t="s">
        <v>315</v>
      </c>
      <c r="B9" s="169">
        <v>7.9</v>
      </c>
      <c r="C9" s="170">
        <f t="shared" si="1"/>
        <v>6</v>
      </c>
      <c r="D9" s="171">
        <f t="shared" si="2"/>
        <v>8</v>
      </c>
      <c r="E9" s="172">
        <f t="shared" si="3"/>
        <v>4</v>
      </c>
    </row>
    <row r="10" ht="22.5" customHeight="1">
      <c r="A10" s="168" t="s">
        <v>306</v>
      </c>
      <c r="B10" s="169">
        <v>9.3</v>
      </c>
      <c r="C10" s="170">
        <f t="shared" si="1"/>
        <v>7</v>
      </c>
      <c r="D10" s="171">
        <f t="shared" si="2"/>
        <v>9</v>
      </c>
      <c r="E10" s="172">
        <f t="shared" si="3"/>
        <v>5</v>
      </c>
    </row>
    <row r="11" ht="22.5" customHeight="1">
      <c r="A11" s="168" t="s">
        <v>308</v>
      </c>
      <c r="B11" s="169">
        <v>10.0</v>
      </c>
      <c r="C11" s="170">
        <f t="shared" si="1"/>
        <v>8</v>
      </c>
      <c r="D11" s="171">
        <f t="shared" si="2"/>
        <v>10</v>
      </c>
      <c r="E11" s="172">
        <f t="shared" si="3"/>
        <v>5</v>
      </c>
    </row>
    <row r="12" ht="22.5" customHeight="1">
      <c r="A12" s="168" t="s">
        <v>312</v>
      </c>
      <c r="B12" s="169">
        <v>10.2</v>
      </c>
      <c r="C12" s="170">
        <f t="shared" si="1"/>
        <v>8</v>
      </c>
      <c r="D12" s="171">
        <f t="shared" si="2"/>
        <v>10</v>
      </c>
      <c r="E12" s="172">
        <f t="shared" si="3"/>
        <v>5</v>
      </c>
    </row>
    <row r="13" ht="22.5" customHeight="1">
      <c r="A13" s="168" t="s">
        <v>325</v>
      </c>
      <c r="B13" s="169">
        <v>11.0</v>
      </c>
      <c r="C13" s="170">
        <f t="shared" si="1"/>
        <v>9</v>
      </c>
      <c r="D13" s="171">
        <f t="shared" si="2"/>
        <v>11</v>
      </c>
      <c r="E13" s="172">
        <f t="shared" si="3"/>
        <v>6</v>
      </c>
    </row>
    <row r="14" ht="22.5" customHeight="1">
      <c r="A14" s="168" t="s">
        <v>322</v>
      </c>
      <c r="B14" s="169">
        <v>15.7</v>
      </c>
      <c r="C14" s="170">
        <f t="shared" si="1"/>
        <v>13</v>
      </c>
      <c r="D14" s="171">
        <f t="shared" si="2"/>
        <v>16</v>
      </c>
      <c r="E14" s="172">
        <f t="shared" si="3"/>
        <v>8</v>
      </c>
    </row>
    <row r="15" ht="22.5" customHeight="1">
      <c r="A15" s="168" t="s">
        <v>328</v>
      </c>
      <c r="B15" s="169">
        <v>16.0</v>
      </c>
      <c r="C15" s="170">
        <f t="shared" si="1"/>
        <v>13</v>
      </c>
      <c r="D15" s="171">
        <f t="shared" si="2"/>
        <v>16</v>
      </c>
      <c r="E15" s="172">
        <f t="shared" si="3"/>
        <v>8</v>
      </c>
    </row>
    <row r="16" ht="22.5" customHeight="1">
      <c r="A16" s="168" t="s">
        <v>310</v>
      </c>
      <c r="B16" s="169">
        <v>16.3</v>
      </c>
      <c r="C16" s="170">
        <f t="shared" si="1"/>
        <v>13</v>
      </c>
      <c r="D16" s="171">
        <f t="shared" si="2"/>
        <v>16</v>
      </c>
      <c r="E16" s="172">
        <f t="shared" si="3"/>
        <v>8</v>
      </c>
    </row>
    <row r="17" ht="22.5" customHeight="1">
      <c r="A17" s="168" t="s">
        <v>311</v>
      </c>
      <c r="B17" s="169">
        <v>18.3</v>
      </c>
      <c r="C17" s="170">
        <f t="shared" si="1"/>
        <v>15</v>
      </c>
      <c r="D17" s="171">
        <f t="shared" si="2"/>
        <v>18</v>
      </c>
      <c r="E17" s="172">
        <f t="shared" si="3"/>
        <v>9</v>
      </c>
    </row>
    <row r="18" ht="22.5" customHeight="1">
      <c r="A18" s="168" t="s">
        <v>313</v>
      </c>
      <c r="B18" s="169">
        <v>18.3</v>
      </c>
      <c r="C18" s="170">
        <f t="shared" si="1"/>
        <v>15</v>
      </c>
      <c r="D18" s="171">
        <f t="shared" si="2"/>
        <v>18</v>
      </c>
      <c r="E18" s="172">
        <f t="shared" si="3"/>
        <v>9</v>
      </c>
    </row>
    <row r="19" ht="22.5" customHeight="1">
      <c r="A19" s="168" t="s">
        <v>318</v>
      </c>
      <c r="B19" s="169">
        <v>19.0</v>
      </c>
      <c r="C19" s="170">
        <f t="shared" si="1"/>
        <v>15</v>
      </c>
      <c r="D19" s="171">
        <f t="shared" si="2"/>
        <v>19</v>
      </c>
      <c r="E19" s="172">
        <f t="shared" si="3"/>
        <v>10</v>
      </c>
    </row>
    <row r="20" ht="22.5" customHeight="1">
      <c r="A20" s="168" t="s">
        <v>323</v>
      </c>
      <c r="B20" s="169">
        <v>20.7</v>
      </c>
      <c r="C20" s="170">
        <f t="shared" si="1"/>
        <v>17</v>
      </c>
      <c r="D20" s="171">
        <f t="shared" si="2"/>
        <v>21</v>
      </c>
      <c r="E20" s="172">
        <f t="shared" si="3"/>
        <v>10</v>
      </c>
    </row>
    <row r="21" ht="22.5" customHeight="1">
      <c r="A21" s="168" t="s">
        <v>316</v>
      </c>
      <c r="B21" s="169">
        <v>21.0</v>
      </c>
      <c r="C21" s="170">
        <f t="shared" si="1"/>
        <v>17</v>
      </c>
      <c r="D21" s="171">
        <f t="shared" si="2"/>
        <v>21</v>
      </c>
      <c r="E21" s="172">
        <f t="shared" si="3"/>
        <v>11</v>
      </c>
    </row>
  </sheetData>
  <dataValidations>
    <dataValidation type="custom" allowBlank="1" showDropDown="1" sqref="B2:B2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59" t="s">
        <v>352</v>
      </c>
      <c r="D1" s="160"/>
      <c r="E1" s="160"/>
      <c r="F1" s="160"/>
      <c r="G1" s="160"/>
      <c r="H1" s="160"/>
      <c r="I1" s="160"/>
    </row>
    <row r="2">
      <c r="A2" s="159" t="s">
        <v>353</v>
      </c>
      <c r="B2" s="159" t="s">
        <v>354</v>
      </c>
      <c r="D2" s="173"/>
      <c r="E2" s="173"/>
      <c r="F2" s="173"/>
      <c r="G2" s="173"/>
      <c r="H2" s="159" t="s">
        <v>353</v>
      </c>
      <c r="I2" s="159" t="s">
        <v>354</v>
      </c>
    </row>
    <row r="3">
      <c r="A3" s="160"/>
      <c r="B3" s="160"/>
      <c r="C3" s="162" t="s">
        <v>162</v>
      </c>
      <c r="D3" s="162" t="s">
        <v>140</v>
      </c>
      <c r="E3" s="162" t="s">
        <v>355</v>
      </c>
      <c r="F3" s="162" t="s">
        <v>101</v>
      </c>
      <c r="G3" s="162" t="s">
        <v>331</v>
      </c>
      <c r="H3" s="160"/>
      <c r="I3" s="160"/>
    </row>
    <row r="4">
      <c r="A4" s="160"/>
      <c r="B4" s="160"/>
      <c r="C4" s="162" t="s">
        <v>149</v>
      </c>
      <c r="D4" s="162" t="s">
        <v>146</v>
      </c>
      <c r="E4" s="162" t="s">
        <v>355</v>
      </c>
      <c r="F4" s="162" t="s">
        <v>136</v>
      </c>
      <c r="G4" s="162" t="s">
        <v>127</v>
      </c>
      <c r="I4" s="160"/>
    </row>
    <row r="5">
      <c r="A5" s="160"/>
      <c r="B5" s="160"/>
      <c r="C5" s="162" t="s">
        <v>155</v>
      </c>
      <c r="D5" s="162" t="s">
        <v>165</v>
      </c>
      <c r="E5" s="162" t="s">
        <v>355</v>
      </c>
      <c r="F5" s="162" t="s">
        <v>332</v>
      </c>
      <c r="G5" s="162" t="s">
        <v>333</v>
      </c>
      <c r="I5" s="160"/>
    </row>
    <row r="6">
      <c r="A6" s="160"/>
      <c r="B6" s="160"/>
      <c r="C6" s="162" t="s">
        <v>102</v>
      </c>
      <c r="D6" s="162" t="s">
        <v>334</v>
      </c>
      <c r="E6" s="162" t="s">
        <v>355</v>
      </c>
      <c r="F6" s="162" t="s">
        <v>158</v>
      </c>
      <c r="G6" s="162" t="s">
        <v>152</v>
      </c>
      <c r="I6" s="160"/>
    </row>
    <row r="7">
      <c r="A7" s="160"/>
      <c r="B7" s="160"/>
      <c r="C7" s="162" t="s">
        <v>200</v>
      </c>
      <c r="D7" s="162" t="s">
        <v>103</v>
      </c>
      <c r="E7" s="162" t="s">
        <v>355</v>
      </c>
      <c r="F7" s="162" t="s">
        <v>174</v>
      </c>
      <c r="G7" s="162" t="s">
        <v>188</v>
      </c>
      <c r="H7" s="160"/>
      <c r="I7" s="160"/>
    </row>
  </sheetData>
  <mergeCells count="5">
    <mergeCell ref="A1:C1"/>
    <mergeCell ref="B2:C2"/>
    <mergeCell ref="G4:H4"/>
    <mergeCell ref="G5:H5"/>
    <mergeCell ref="G6:H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59" t="s">
        <v>356</v>
      </c>
    </row>
    <row r="2">
      <c r="A2" s="160"/>
    </row>
    <row r="3">
      <c r="A3" s="159" t="s">
        <v>245</v>
      </c>
      <c r="B3" s="162" t="s">
        <v>188</v>
      </c>
      <c r="C3" s="162" t="s">
        <v>102</v>
      </c>
      <c r="D3" s="162" t="s">
        <v>333</v>
      </c>
      <c r="E3" s="162" t="s">
        <v>334</v>
      </c>
    </row>
    <row r="4">
      <c r="A4" s="159" t="s">
        <v>72</v>
      </c>
      <c r="B4" s="106">
        <v>4.0</v>
      </c>
      <c r="C4" s="106">
        <v>1.0</v>
      </c>
      <c r="D4" s="106">
        <v>2.0</v>
      </c>
      <c r="E4" s="106">
        <v>3.0</v>
      </c>
    </row>
    <row r="5">
      <c r="A5" s="173"/>
    </row>
    <row r="6">
      <c r="A6" s="159" t="s">
        <v>242</v>
      </c>
      <c r="B6" s="162" t="s">
        <v>136</v>
      </c>
      <c r="C6" s="162" t="s">
        <v>336</v>
      </c>
      <c r="D6" s="162" t="s">
        <v>146</v>
      </c>
      <c r="E6" s="162" t="s">
        <v>174</v>
      </c>
    </row>
    <row r="7">
      <c r="A7" s="159" t="s">
        <v>72</v>
      </c>
      <c r="B7" s="106">
        <v>3.0</v>
      </c>
      <c r="C7" s="106">
        <v>1.0</v>
      </c>
      <c r="D7" s="106">
        <v>2.0</v>
      </c>
      <c r="E7" s="106">
        <v>4.0</v>
      </c>
    </row>
    <row r="8">
      <c r="A8" s="173"/>
    </row>
    <row r="9">
      <c r="A9" s="159" t="s">
        <v>239</v>
      </c>
      <c r="B9" s="162" t="s">
        <v>127</v>
      </c>
      <c r="C9" s="162" t="s">
        <v>149</v>
      </c>
      <c r="D9" s="162" t="s">
        <v>101</v>
      </c>
      <c r="E9" s="162" t="s">
        <v>331</v>
      </c>
    </row>
    <row r="10">
      <c r="A10" s="159" t="s">
        <v>72</v>
      </c>
      <c r="B10" s="106">
        <v>3.0</v>
      </c>
      <c r="C10" s="106">
        <v>4.0</v>
      </c>
      <c r="D10" s="106">
        <v>2.0</v>
      </c>
      <c r="E10" s="106">
        <v>1.0</v>
      </c>
    </row>
    <row r="11">
      <c r="A11" s="173"/>
    </row>
    <row r="12">
      <c r="A12" s="159" t="s">
        <v>241</v>
      </c>
      <c r="B12" s="162" t="s">
        <v>158</v>
      </c>
      <c r="C12" s="162" t="s">
        <v>103</v>
      </c>
      <c r="D12" s="162" t="s">
        <v>140</v>
      </c>
      <c r="E12" s="162" t="s">
        <v>165</v>
      </c>
    </row>
    <row r="13">
      <c r="A13" s="159" t="s">
        <v>72</v>
      </c>
      <c r="B13" s="106">
        <v>3.0</v>
      </c>
      <c r="C13" s="106">
        <v>1.0</v>
      </c>
      <c r="D13" s="106">
        <v>2.0</v>
      </c>
      <c r="E13" s="106">
        <v>4.0</v>
      </c>
    </row>
    <row r="14">
      <c r="A14" s="173"/>
    </row>
    <row r="15">
      <c r="A15" s="159" t="s">
        <v>244</v>
      </c>
      <c r="B15" s="162" t="s">
        <v>152</v>
      </c>
      <c r="C15" s="162" t="s">
        <v>155</v>
      </c>
      <c r="D15" s="162" t="s">
        <v>200</v>
      </c>
      <c r="E15" s="162" t="s">
        <v>162</v>
      </c>
    </row>
    <row r="16">
      <c r="A16" s="159" t="s">
        <v>72</v>
      </c>
      <c r="B16" s="106">
        <v>3.0</v>
      </c>
      <c r="C16" s="106">
        <v>1.0</v>
      </c>
      <c r="D16" s="106">
        <v>4.0</v>
      </c>
      <c r="E16" s="106">
        <v>2.0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59" t="s">
        <v>357</v>
      </c>
      <c r="C1" s="160"/>
      <c r="D1" s="160"/>
      <c r="E1" s="160"/>
      <c r="F1" s="160"/>
      <c r="G1" s="160"/>
      <c r="H1" s="160"/>
      <c r="I1" s="160"/>
      <c r="J1" s="160"/>
    </row>
    <row r="2">
      <c r="A2" s="162" t="s">
        <v>358</v>
      </c>
      <c r="B2" s="160"/>
      <c r="C2" s="160"/>
      <c r="D2" s="160"/>
      <c r="E2" s="160"/>
      <c r="F2" s="160"/>
      <c r="G2" s="160"/>
      <c r="H2" s="160"/>
      <c r="I2" s="160"/>
      <c r="J2" s="160"/>
    </row>
    <row r="3">
      <c r="A3" s="174"/>
      <c r="B3" s="175"/>
      <c r="C3" s="160"/>
      <c r="D3" s="160"/>
      <c r="E3" s="160"/>
      <c r="F3" s="160"/>
      <c r="G3" s="160"/>
      <c r="H3" s="160"/>
      <c r="I3" s="160"/>
      <c r="J3" s="160"/>
    </row>
    <row r="4">
      <c r="A4" s="176"/>
      <c r="B4" s="177"/>
      <c r="C4" s="178" t="s">
        <v>359</v>
      </c>
      <c r="D4" s="179"/>
      <c r="E4" s="160"/>
      <c r="F4" s="160"/>
      <c r="G4" s="160"/>
      <c r="H4" s="160"/>
      <c r="I4" s="160"/>
      <c r="J4" s="160"/>
    </row>
    <row r="5">
      <c r="A5" s="178" t="s">
        <v>359</v>
      </c>
      <c r="B5" s="180"/>
      <c r="C5" s="160"/>
      <c r="D5" s="160"/>
      <c r="E5" s="176"/>
      <c r="F5" s="160"/>
      <c r="G5" s="160"/>
      <c r="H5" s="160"/>
      <c r="I5" s="160"/>
      <c r="J5" s="160"/>
    </row>
    <row r="6">
      <c r="A6" s="160"/>
      <c r="B6" s="160"/>
      <c r="C6" s="160"/>
      <c r="D6" s="160"/>
      <c r="E6" s="176"/>
      <c r="F6" s="160"/>
      <c r="G6" s="160"/>
      <c r="H6" s="160"/>
      <c r="I6" s="160"/>
      <c r="J6" s="160"/>
    </row>
    <row r="7">
      <c r="A7" s="160"/>
      <c r="B7" s="160"/>
      <c r="C7" s="160"/>
      <c r="D7" s="160"/>
      <c r="E7" s="178" t="s">
        <v>359</v>
      </c>
      <c r="F7" s="179"/>
      <c r="G7" s="160"/>
      <c r="H7" s="160"/>
      <c r="I7" s="160"/>
      <c r="J7" s="160"/>
    </row>
    <row r="8">
      <c r="A8" s="162" t="s">
        <v>360</v>
      </c>
      <c r="B8" s="160"/>
      <c r="C8" s="160"/>
      <c r="D8" s="160"/>
      <c r="E8" s="181" t="s">
        <v>361</v>
      </c>
      <c r="G8" s="160"/>
      <c r="H8" s="160"/>
      <c r="I8" s="160"/>
      <c r="J8" s="160"/>
    </row>
    <row r="9">
      <c r="A9" s="174"/>
      <c r="B9" s="175"/>
      <c r="C9" s="160"/>
      <c r="D9" s="160"/>
      <c r="E9" s="176"/>
      <c r="F9" s="160"/>
      <c r="G9" s="160"/>
      <c r="H9" s="160"/>
      <c r="I9" s="160"/>
      <c r="J9" s="160"/>
    </row>
    <row r="10">
      <c r="A10" s="176"/>
      <c r="B10" s="177"/>
      <c r="C10" s="178" t="s">
        <v>362</v>
      </c>
      <c r="D10" s="179"/>
      <c r="E10" s="176"/>
      <c r="F10" s="160"/>
      <c r="G10" s="160"/>
      <c r="H10" s="160"/>
      <c r="I10" s="160"/>
      <c r="J10" s="160"/>
    </row>
    <row r="11">
      <c r="A11" s="178" t="s">
        <v>362</v>
      </c>
      <c r="B11" s="180"/>
      <c r="C11" s="160"/>
      <c r="D11" s="160"/>
      <c r="E11" s="160"/>
      <c r="F11" s="160"/>
      <c r="G11" s="160"/>
      <c r="H11" s="160"/>
      <c r="I11" s="160"/>
      <c r="J11" s="160"/>
    </row>
    <row r="12">
      <c r="A12" s="160"/>
      <c r="B12" s="160"/>
      <c r="C12" s="160"/>
      <c r="D12" s="160"/>
      <c r="E12" s="160"/>
      <c r="F12" s="160"/>
      <c r="G12" s="160"/>
      <c r="H12" s="160"/>
      <c r="I12" s="160"/>
      <c r="J12" s="160"/>
    </row>
    <row r="13">
      <c r="A13" s="159" t="s">
        <v>363</v>
      </c>
      <c r="C13" s="160"/>
      <c r="D13" s="160"/>
      <c r="E13" s="160"/>
      <c r="F13" s="160"/>
      <c r="G13" s="159" t="s">
        <v>364</v>
      </c>
      <c r="J13" s="160"/>
    </row>
    <row r="14">
      <c r="A14" s="162" t="s">
        <v>365</v>
      </c>
      <c r="B14" s="160"/>
      <c r="C14" s="160"/>
      <c r="D14" s="160"/>
      <c r="E14" s="160"/>
      <c r="F14" s="160"/>
      <c r="G14" s="182" t="s">
        <v>366</v>
      </c>
      <c r="H14" s="160"/>
      <c r="I14" s="160"/>
      <c r="J14" s="160"/>
    </row>
    <row r="15">
      <c r="A15" s="174"/>
      <c r="B15" s="175"/>
      <c r="C15" s="160"/>
      <c r="D15" s="160"/>
      <c r="E15" s="160"/>
      <c r="F15" s="160"/>
      <c r="G15" s="160"/>
      <c r="H15" s="175"/>
      <c r="I15" s="160"/>
      <c r="J15" s="160"/>
    </row>
    <row r="16">
      <c r="A16" s="176"/>
      <c r="B16" s="177"/>
      <c r="C16" s="162" t="s">
        <v>365</v>
      </c>
      <c r="D16" s="179"/>
      <c r="E16" s="160"/>
      <c r="F16" s="160"/>
      <c r="G16" s="160"/>
      <c r="H16" s="177"/>
      <c r="I16" s="182" t="s">
        <v>366</v>
      </c>
      <c r="J16" s="179"/>
    </row>
    <row r="17">
      <c r="A17" s="178" t="s">
        <v>367</v>
      </c>
      <c r="B17" s="180"/>
      <c r="C17" s="160"/>
      <c r="D17" s="160"/>
      <c r="E17" s="176"/>
      <c r="F17" s="160"/>
      <c r="G17" s="182" t="s">
        <v>368</v>
      </c>
      <c r="H17" s="180"/>
      <c r="I17" s="162" t="s">
        <v>369</v>
      </c>
    </row>
    <row r="18">
      <c r="A18" s="160"/>
      <c r="B18" s="160"/>
      <c r="C18" s="160"/>
      <c r="D18" s="160"/>
      <c r="E18" s="176"/>
      <c r="F18" s="160"/>
      <c r="G18" s="160"/>
      <c r="H18" s="160"/>
      <c r="I18" s="160"/>
      <c r="J18" s="160"/>
    </row>
    <row r="19">
      <c r="A19" s="160"/>
      <c r="B19" s="160"/>
      <c r="C19" s="160"/>
      <c r="D19" s="160"/>
      <c r="E19" s="162" t="s">
        <v>370</v>
      </c>
      <c r="F19" s="179"/>
      <c r="G19" s="160"/>
      <c r="H19" s="160"/>
      <c r="I19" s="160"/>
      <c r="J19" s="160"/>
    </row>
    <row r="20">
      <c r="A20" s="162" t="s">
        <v>370</v>
      </c>
      <c r="B20" s="160"/>
      <c r="C20" s="160"/>
      <c r="D20" s="160"/>
      <c r="E20" s="181" t="s">
        <v>8</v>
      </c>
      <c r="G20" s="160"/>
      <c r="H20" s="160"/>
      <c r="I20" s="160"/>
      <c r="J20" s="160"/>
    </row>
    <row r="21">
      <c r="A21" s="174"/>
      <c r="B21" s="175"/>
      <c r="C21" s="160"/>
      <c r="D21" s="160"/>
      <c r="E21" s="176"/>
      <c r="F21" s="160"/>
      <c r="G21" s="160"/>
      <c r="H21" s="160"/>
      <c r="I21" s="160"/>
      <c r="J21" s="160"/>
    </row>
    <row r="22">
      <c r="A22" s="176"/>
      <c r="B22" s="177"/>
      <c r="C22" s="162" t="s">
        <v>370</v>
      </c>
      <c r="D22" s="179"/>
      <c r="E22" s="176"/>
      <c r="F22" s="160"/>
      <c r="G22" s="160"/>
      <c r="H22" s="160"/>
      <c r="I22" s="160"/>
      <c r="J22" s="160"/>
    </row>
    <row r="23">
      <c r="A23" s="178" t="s">
        <v>371</v>
      </c>
      <c r="B23" s="180"/>
      <c r="C23" s="160"/>
      <c r="D23" s="160"/>
      <c r="E23" s="160"/>
      <c r="F23" s="160"/>
      <c r="G23" s="160"/>
      <c r="H23" s="160"/>
      <c r="I23" s="160"/>
      <c r="J23" s="160"/>
    </row>
    <row r="24">
      <c r="A24" s="160"/>
      <c r="B24" s="160"/>
      <c r="C24" s="160"/>
      <c r="D24" s="160"/>
      <c r="E24" s="160"/>
      <c r="F24" s="160"/>
      <c r="G24" s="160"/>
      <c r="H24" s="160"/>
      <c r="I24" s="160"/>
      <c r="J24" s="160"/>
    </row>
  </sheetData>
  <mergeCells count="6">
    <mergeCell ref="A1:B1"/>
    <mergeCell ref="E8:F8"/>
    <mergeCell ref="A13:B13"/>
    <mergeCell ref="G13:I13"/>
    <mergeCell ref="I17:J17"/>
    <mergeCell ref="E20:F2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183" t="s">
        <v>372</v>
      </c>
    </row>
  </sheetData>
  <hyperlinks>
    <hyperlink r:id="rId1" ref="A1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8.13"/>
    <col customWidth="1" min="2" max="26" width="7.63"/>
  </cols>
  <sheetData>
    <row r="1">
      <c r="A1" s="184" t="s">
        <v>373</v>
      </c>
    </row>
    <row r="2">
      <c r="C2" s="185" t="s">
        <v>123</v>
      </c>
      <c r="D2" s="185" t="s">
        <v>136</v>
      </c>
      <c r="E2" s="185" t="s">
        <v>188</v>
      </c>
      <c r="F2" s="185" t="s">
        <v>102</v>
      </c>
      <c r="G2" s="185" t="s">
        <v>158</v>
      </c>
      <c r="H2" s="185" t="s">
        <v>162</v>
      </c>
      <c r="I2" s="185" t="s">
        <v>133</v>
      </c>
      <c r="J2" s="185" t="s">
        <v>140</v>
      </c>
      <c r="K2" s="185" t="s">
        <v>152</v>
      </c>
      <c r="L2" s="185" t="s">
        <v>149</v>
      </c>
      <c r="M2" s="185" t="s">
        <v>334</v>
      </c>
      <c r="N2" s="185" t="s">
        <v>200</v>
      </c>
      <c r="O2" s="185" t="s">
        <v>374</v>
      </c>
      <c r="P2" s="185" t="s">
        <v>103</v>
      </c>
      <c r="Q2" s="185" t="s">
        <v>101</v>
      </c>
      <c r="R2" s="185" t="s">
        <v>127</v>
      </c>
      <c r="S2" s="185" t="s">
        <v>143</v>
      </c>
      <c r="T2" s="185" t="s">
        <v>146</v>
      </c>
      <c r="U2" s="185" t="s">
        <v>174</v>
      </c>
      <c r="V2" s="185" t="s">
        <v>155</v>
      </c>
      <c r="W2" s="185" t="s">
        <v>165</v>
      </c>
      <c r="X2" s="185" t="s">
        <v>375</v>
      </c>
      <c r="Y2" s="185" t="s">
        <v>376</v>
      </c>
      <c r="Z2" s="186" t="s">
        <v>377</v>
      </c>
    </row>
    <row r="3">
      <c r="A3" s="187" t="s">
        <v>378</v>
      </c>
      <c r="B3" s="185"/>
      <c r="N3" s="188"/>
      <c r="S3" s="106"/>
    </row>
    <row r="4">
      <c r="A4" s="189" t="s">
        <v>379</v>
      </c>
      <c r="B4" s="185">
        <f t="shared" ref="B4:B5" si="1">COUNTA(C4:AG4)</f>
        <v>8</v>
      </c>
      <c r="C4" s="73" t="s">
        <v>16</v>
      </c>
      <c r="D4" s="73" t="s">
        <v>16</v>
      </c>
      <c r="I4" s="106"/>
      <c r="J4" s="106"/>
      <c r="L4" s="106"/>
      <c r="M4" s="106" t="s">
        <v>16</v>
      </c>
      <c r="N4" s="106" t="s">
        <v>16</v>
      </c>
      <c r="P4" s="106"/>
      <c r="Q4" s="106" t="s">
        <v>16</v>
      </c>
      <c r="S4" s="106" t="s">
        <v>16</v>
      </c>
      <c r="T4" s="106" t="s">
        <v>16</v>
      </c>
      <c r="W4" s="106" t="s">
        <v>16</v>
      </c>
    </row>
    <row r="5">
      <c r="A5" s="189" t="s">
        <v>380</v>
      </c>
      <c r="B5" s="185">
        <f t="shared" si="1"/>
        <v>11</v>
      </c>
      <c r="C5" s="73" t="s">
        <v>16</v>
      </c>
      <c r="D5" s="73" t="s">
        <v>16</v>
      </c>
      <c r="I5" s="106" t="s">
        <v>16</v>
      </c>
      <c r="J5" s="106"/>
      <c r="L5" s="106" t="s">
        <v>16</v>
      </c>
      <c r="M5" s="106" t="s">
        <v>16</v>
      </c>
      <c r="N5" s="106" t="s">
        <v>16</v>
      </c>
      <c r="P5" s="106" t="s">
        <v>16</v>
      </c>
      <c r="Q5" s="106" t="s">
        <v>16</v>
      </c>
      <c r="S5" s="106" t="s">
        <v>16</v>
      </c>
      <c r="T5" s="106" t="s">
        <v>16</v>
      </c>
      <c r="W5" s="106" t="s">
        <v>16</v>
      </c>
    </row>
    <row r="6">
      <c r="A6" s="185"/>
      <c r="B6" s="185"/>
    </row>
    <row r="7">
      <c r="A7" s="190" t="s">
        <v>381</v>
      </c>
      <c r="B7" s="185"/>
    </row>
    <row r="8">
      <c r="A8" s="189" t="s">
        <v>382</v>
      </c>
      <c r="B8" s="185">
        <f t="shared" ref="B8:B10" si="2">COUNTA(C8:AG8)</f>
        <v>12</v>
      </c>
      <c r="C8" s="73" t="s">
        <v>16</v>
      </c>
      <c r="D8" s="73" t="s">
        <v>16</v>
      </c>
      <c r="H8" s="106" t="s">
        <v>16</v>
      </c>
      <c r="I8" s="106" t="s">
        <v>16</v>
      </c>
      <c r="J8" s="106"/>
      <c r="L8" s="106" t="s">
        <v>16</v>
      </c>
      <c r="M8" s="106" t="s">
        <v>16</v>
      </c>
      <c r="N8" s="106" t="s">
        <v>16</v>
      </c>
      <c r="P8" s="106" t="s">
        <v>16</v>
      </c>
      <c r="Q8" s="106" t="s">
        <v>16</v>
      </c>
      <c r="S8" s="106" t="s">
        <v>16</v>
      </c>
      <c r="T8" s="106" t="s">
        <v>16</v>
      </c>
      <c r="W8" s="106" t="s">
        <v>16</v>
      </c>
    </row>
    <row r="9">
      <c r="A9" s="191" t="s">
        <v>383</v>
      </c>
      <c r="B9" s="185">
        <f t="shared" si="2"/>
        <v>16</v>
      </c>
      <c r="C9" s="73" t="s">
        <v>16</v>
      </c>
      <c r="D9" s="73" t="s">
        <v>16</v>
      </c>
      <c r="H9" s="106" t="s">
        <v>16</v>
      </c>
      <c r="I9" s="106" t="s">
        <v>16</v>
      </c>
      <c r="J9" s="106" t="s">
        <v>16</v>
      </c>
      <c r="L9" s="106" t="s">
        <v>16</v>
      </c>
      <c r="M9" s="106" t="s">
        <v>16</v>
      </c>
      <c r="N9" s="106" t="s">
        <v>16</v>
      </c>
      <c r="P9" s="106" t="s">
        <v>16</v>
      </c>
      <c r="Q9" s="106" t="s">
        <v>16</v>
      </c>
      <c r="R9" s="106" t="s">
        <v>16</v>
      </c>
      <c r="S9" s="106" t="s">
        <v>16</v>
      </c>
      <c r="T9" s="106" t="s">
        <v>16</v>
      </c>
      <c r="U9" s="106" t="s">
        <v>16</v>
      </c>
      <c r="W9" s="106" t="s">
        <v>16</v>
      </c>
      <c r="Z9" s="106" t="s">
        <v>384</v>
      </c>
    </row>
    <row r="10">
      <c r="A10" s="191" t="s">
        <v>385</v>
      </c>
      <c r="B10" s="185">
        <f t="shared" si="2"/>
        <v>21</v>
      </c>
      <c r="C10" s="73" t="s">
        <v>16</v>
      </c>
      <c r="D10" s="73" t="s">
        <v>16</v>
      </c>
      <c r="G10" s="106" t="s">
        <v>16</v>
      </c>
      <c r="H10" s="106" t="s">
        <v>16</v>
      </c>
      <c r="I10" s="106" t="s">
        <v>16</v>
      </c>
      <c r="J10" s="106" t="s">
        <v>16</v>
      </c>
      <c r="K10" s="106" t="s">
        <v>16</v>
      </c>
      <c r="L10" s="106" t="s">
        <v>16</v>
      </c>
      <c r="M10" s="106" t="s">
        <v>16</v>
      </c>
      <c r="N10" s="106" t="s">
        <v>16</v>
      </c>
      <c r="P10" s="106" t="s">
        <v>16</v>
      </c>
      <c r="Q10" s="106" t="s">
        <v>16</v>
      </c>
      <c r="R10" s="106" t="s">
        <v>16</v>
      </c>
      <c r="S10" s="106" t="s">
        <v>16</v>
      </c>
      <c r="T10" s="106" t="s">
        <v>16</v>
      </c>
      <c r="U10" s="106" t="s">
        <v>16</v>
      </c>
      <c r="V10" s="106" t="s">
        <v>16</v>
      </c>
      <c r="W10" s="106" t="s">
        <v>16</v>
      </c>
      <c r="X10" s="106" t="s">
        <v>16</v>
      </c>
      <c r="Y10" s="106" t="s">
        <v>16</v>
      </c>
      <c r="Z10" s="106" t="s">
        <v>16</v>
      </c>
    </row>
    <row r="11">
      <c r="A11" s="185"/>
      <c r="B11" s="185"/>
    </row>
    <row r="12">
      <c r="A12" s="192" t="s">
        <v>386</v>
      </c>
      <c r="B12" s="185">
        <f t="shared" ref="B12:B13" si="3">COUNTA(C12:AG12)</f>
        <v>23</v>
      </c>
      <c r="C12" s="106" t="s">
        <v>387</v>
      </c>
      <c r="D12" s="106" t="s">
        <v>387</v>
      </c>
      <c r="E12" s="106" t="s">
        <v>387</v>
      </c>
      <c r="F12" s="106" t="s">
        <v>387</v>
      </c>
      <c r="G12" s="106" t="s">
        <v>387</v>
      </c>
      <c r="H12" s="106" t="s">
        <v>387</v>
      </c>
      <c r="I12" s="106" t="s">
        <v>387</v>
      </c>
      <c r="J12" s="106" t="s">
        <v>387</v>
      </c>
      <c r="K12" s="106" t="s">
        <v>387</v>
      </c>
      <c r="L12" s="106" t="s">
        <v>387</v>
      </c>
      <c r="M12" s="106" t="s">
        <v>388</v>
      </c>
      <c r="N12" s="106" t="s">
        <v>388</v>
      </c>
      <c r="O12" s="106" t="s">
        <v>388</v>
      </c>
      <c r="P12" s="106" t="s">
        <v>387</v>
      </c>
      <c r="Q12" s="106" t="s">
        <v>387</v>
      </c>
      <c r="R12" s="106" t="s">
        <v>387</v>
      </c>
      <c r="S12" s="106" t="s">
        <v>387</v>
      </c>
      <c r="T12" s="106" t="s">
        <v>389</v>
      </c>
      <c r="U12" s="106" t="s">
        <v>387</v>
      </c>
      <c r="V12" s="106" t="s">
        <v>390</v>
      </c>
      <c r="W12" s="106" t="s">
        <v>387</v>
      </c>
      <c r="X12" s="106" t="s">
        <v>388</v>
      </c>
      <c r="Y12" s="106" t="s">
        <v>391</v>
      </c>
    </row>
    <row r="13">
      <c r="B13" s="185">
        <f t="shared" si="3"/>
        <v>23</v>
      </c>
      <c r="C13" s="106" t="s">
        <v>392</v>
      </c>
      <c r="D13" s="106" t="s">
        <v>393</v>
      </c>
      <c r="E13" s="106" t="s">
        <v>392</v>
      </c>
      <c r="F13" s="106" t="s">
        <v>393</v>
      </c>
      <c r="G13" s="106" t="s">
        <v>393</v>
      </c>
      <c r="H13" s="106" t="s">
        <v>392</v>
      </c>
      <c r="I13" s="106" t="s">
        <v>393</v>
      </c>
      <c r="J13" s="106" t="s">
        <v>392</v>
      </c>
      <c r="K13" s="106" t="s">
        <v>392</v>
      </c>
      <c r="L13" s="106" t="s">
        <v>392</v>
      </c>
      <c r="M13" s="106" t="s">
        <v>392</v>
      </c>
      <c r="N13" s="106" t="s">
        <v>394</v>
      </c>
      <c r="O13" s="106" t="s">
        <v>393</v>
      </c>
      <c r="P13" s="106" t="s">
        <v>393</v>
      </c>
      <c r="Q13" s="106" t="s">
        <v>394</v>
      </c>
      <c r="R13" s="106" t="s">
        <v>393</v>
      </c>
      <c r="S13" s="106" t="s">
        <v>394</v>
      </c>
      <c r="T13" s="106" t="s">
        <v>393</v>
      </c>
      <c r="U13" s="106" t="s">
        <v>395</v>
      </c>
      <c r="V13" s="106" t="s">
        <v>392</v>
      </c>
      <c r="W13" s="106" t="s">
        <v>394</v>
      </c>
      <c r="X13" s="106" t="s">
        <v>395</v>
      </c>
      <c r="Y13" s="106" t="s">
        <v>392</v>
      </c>
    </row>
    <row r="14">
      <c r="C14" s="106" t="s">
        <v>48</v>
      </c>
      <c r="D14" s="106" t="s">
        <v>52</v>
      </c>
      <c r="E14" s="106" t="s">
        <v>48</v>
      </c>
      <c r="F14" s="106" t="s">
        <v>48</v>
      </c>
      <c r="G14" s="106" t="s">
        <v>48</v>
      </c>
      <c r="H14" s="106" t="s">
        <v>48</v>
      </c>
      <c r="I14" s="106" t="s">
        <v>48</v>
      </c>
      <c r="J14" s="106" t="s">
        <v>48</v>
      </c>
      <c r="K14" s="106" t="s">
        <v>48</v>
      </c>
      <c r="L14" s="106" t="s">
        <v>48</v>
      </c>
      <c r="M14" s="106" t="s">
        <v>48</v>
      </c>
      <c r="N14" s="106" t="s">
        <v>48</v>
      </c>
      <c r="O14" s="106" t="s">
        <v>48</v>
      </c>
      <c r="P14" s="106" t="s">
        <v>52</v>
      </c>
      <c r="Q14" s="106" t="s">
        <v>52</v>
      </c>
      <c r="R14" s="106" t="s">
        <v>52</v>
      </c>
      <c r="S14" s="106" t="s">
        <v>52</v>
      </c>
      <c r="T14" s="106" t="s">
        <v>52</v>
      </c>
      <c r="U14" s="106" t="s">
        <v>52</v>
      </c>
      <c r="V14" s="106" t="s">
        <v>52</v>
      </c>
      <c r="W14" s="106" t="s">
        <v>52</v>
      </c>
      <c r="X14" s="106" t="s">
        <v>52</v>
      </c>
      <c r="Y14" s="106" t="s">
        <v>52</v>
      </c>
      <c r="Z14" s="106" t="s">
        <v>52</v>
      </c>
    </row>
    <row r="16">
      <c r="B16" s="106" t="s">
        <v>191</v>
      </c>
      <c r="C16" s="106" t="s">
        <v>52</v>
      </c>
      <c r="D16" s="106" t="s">
        <v>396</v>
      </c>
    </row>
    <row r="17">
      <c r="B17" s="106" t="s">
        <v>104</v>
      </c>
      <c r="C17" s="106" t="s">
        <v>48</v>
      </c>
      <c r="D17" s="106" t="s">
        <v>392</v>
      </c>
    </row>
    <row r="18">
      <c r="B18" s="106" t="s">
        <v>139</v>
      </c>
      <c r="C18" s="106" t="s">
        <v>397</v>
      </c>
      <c r="D18" s="106" t="s">
        <v>392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90.5"/>
  </cols>
  <sheetData>
    <row r="1">
      <c r="A1" s="193" t="s">
        <v>398</v>
      </c>
      <c r="B1" s="193" t="s">
        <v>399</v>
      </c>
    </row>
    <row r="2">
      <c r="A2" s="194" t="s">
        <v>127</v>
      </c>
      <c r="B2" s="13" t="s">
        <v>400</v>
      </c>
    </row>
    <row r="3">
      <c r="A3" s="194" t="s">
        <v>101</v>
      </c>
      <c r="B3" s="13" t="s">
        <v>401</v>
      </c>
    </row>
    <row r="4">
      <c r="A4" s="194" t="s">
        <v>146</v>
      </c>
      <c r="B4" s="13" t="s">
        <v>402</v>
      </c>
    </row>
    <row r="5">
      <c r="A5" s="194" t="s">
        <v>158</v>
      </c>
      <c r="B5" s="13" t="s">
        <v>403</v>
      </c>
    </row>
    <row r="6">
      <c r="A6" s="194" t="s">
        <v>332</v>
      </c>
      <c r="B6" s="13" t="s">
        <v>404</v>
      </c>
    </row>
    <row r="7">
      <c r="A7" s="194" t="s">
        <v>162</v>
      </c>
      <c r="B7" s="13" t="s">
        <v>405</v>
      </c>
    </row>
    <row r="8">
      <c r="A8" s="194" t="s">
        <v>139</v>
      </c>
      <c r="B8" s="13" t="s">
        <v>406</v>
      </c>
    </row>
    <row r="9">
      <c r="A9" s="194" t="s">
        <v>136</v>
      </c>
      <c r="B9" s="13" t="s">
        <v>407</v>
      </c>
    </row>
    <row r="10">
      <c r="A10" s="194"/>
      <c r="B10" s="13"/>
    </row>
    <row r="11">
      <c r="A11" s="195"/>
      <c r="B11" s="196"/>
    </row>
    <row r="12">
      <c r="A12" s="195"/>
      <c r="B12" s="196"/>
    </row>
    <row r="13">
      <c r="A13" s="195"/>
      <c r="B13" s="196"/>
    </row>
    <row r="14">
      <c r="A14" s="195"/>
      <c r="B14" s="196"/>
    </row>
    <row r="15">
      <c r="A15" s="195"/>
      <c r="B15" s="19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74" t="str">
        <f>IFERROR(__xludf.DUMMYFUNCTION("importhtml(""https://www.scrolf.com/mobile/Leaderboard.aspx?EventID=50177&amp;AdID=1&amp;leaderboard=12&amp;flight=&amp;lbsort="", ""table"", 3)"),"")</f>
        <v/>
      </c>
      <c r="B1" s="73" t="str">
        <f>IFERROR(__xludf.DUMMYFUNCTION("""COMPUTED_VALUE"""),"Player/Team")</f>
        <v>Player/Team</v>
      </c>
      <c r="C1" s="73" t="str">
        <f>IFERROR(__xludf.DUMMYFUNCTION("""COMPUTED_VALUE"""),"To Par
(Gross)")</f>
        <v>To Par
(Gross)</v>
      </c>
      <c r="D1" s="73" t="str">
        <f>IFERROR(__xludf.DUMMYFUNCTION("""COMPUTED_VALUE"""),"To Par
(Net)")</f>
        <v>To Par
(Net)</v>
      </c>
      <c r="E1" s="73" t="str">
        <f>IFERROR(__xludf.DUMMYFUNCTION("""COMPUTED_VALUE"""),"Thru")</f>
        <v>Thru</v>
      </c>
      <c r="G1" s="74"/>
    </row>
    <row r="2">
      <c r="A2" s="73"/>
      <c r="B2" s="73" t="str">
        <f>IFERROR(__xludf.DUMMYFUNCTION("""COMPUTED_VALUE"""),"Team 1 (Riley (R), Troy (R))")</f>
        <v>Team 1 (Riley (R), Troy (R))</v>
      </c>
      <c r="C2" s="73"/>
      <c r="D2" s="73"/>
      <c r="E2" s="73"/>
    </row>
    <row r="3">
      <c r="A3" s="73"/>
      <c r="B3" s="73" t="str">
        <f>IFERROR(__xludf.DUMMYFUNCTION("""COMPUTED_VALUE"""),"Team 10 (Mitch (A), Paul (A))")</f>
        <v>Team 10 (Mitch (A), Paul (A))</v>
      </c>
      <c r="C3" s="73"/>
      <c r="D3" s="73"/>
      <c r="E3" s="73"/>
    </row>
    <row r="4">
      <c r="A4" s="73"/>
      <c r="B4" s="73" t="str">
        <f>IFERROR(__xludf.DUMMYFUNCTION("""COMPUTED_VALUE"""),"Team 11 (Andy (A), Neil (A))")</f>
        <v>Team 11 (Andy (A), Neil (A))</v>
      </c>
      <c r="C4" s="73"/>
      <c r="D4" s="73"/>
      <c r="E4" s="73"/>
    </row>
    <row r="5">
      <c r="A5" s="73"/>
      <c r="B5" s="73" t="str">
        <f>IFERROR(__xludf.DUMMYFUNCTION("""COMPUTED_VALUE"""),"Team 12 (Kelly (B), Mikey (B))")</f>
        <v>Team 12 (Kelly (B), Mikey (B))</v>
      </c>
      <c r="C5" s="73"/>
      <c r="D5" s="73"/>
      <c r="E5" s="73"/>
    </row>
    <row r="6">
      <c r="A6" s="73"/>
      <c r="B6" s="73" t="str">
        <f>IFERROR(__xludf.DUMMYFUNCTION("""COMPUTED_VALUE"""),"Team 2 (Marcus (W), Rob (W))")</f>
        <v>Team 2 (Marcus (W), Rob (W))</v>
      </c>
      <c r="C6" s="73"/>
      <c r="D6" s="73"/>
      <c r="E6" s="73"/>
    </row>
    <row r="7">
      <c r="A7" s="73"/>
      <c r="B7" s="73" t="str">
        <f>IFERROR(__xludf.DUMMYFUNCTION("""COMPUTED_VALUE"""),"Team 3 (Powell (R), Ryan (R))")</f>
        <v>Team 3 (Powell (R), Ryan (R))</v>
      </c>
      <c r="C7" s="73"/>
      <c r="D7" s="73"/>
      <c r="E7" s="73"/>
    </row>
    <row r="8">
      <c r="A8" s="73"/>
      <c r="B8" s="73" t="str">
        <f>IFERROR(__xludf.DUMMYFUNCTION("""COMPUTED_VALUE"""),"Team 4 (Adam (W), Chad (W))")</f>
        <v>Team 4 (Adam (W), Chad (W))</v>
      </c>
      <c r="C8" s="73"/>
      <c r="D8" s="73"/>
      <c r="E8" s="73"/>
    </row>
    <row r="9">
      <c r="A9" s="73"/>
      <c r="B9" s="73" t="str">
        <f>IFERROR(__xludf.DUMMYFUNCTION("""COMPUTED_VALUE"""),"Team 5 (Andrew (A), Rocky (A))")</f>
        <v>Team 5 (Andrew (A), Rocky (A))</v>
      </c>
      <c r="C9" s="73"/>
      <c r="D9" s="73"/>
      <c r="E9" s="73"/>
    </row>
    <row r="10">
      <c r="A10" s="73"/>
      <c r="B10" s="73" t="str">
        <f>IFERROR(__xludf.DUMMYFUNCTION("""COMPUTED_VALUE"""),"Team 6 (Joe (B), Miller (B))")</f>
        <v>Team 6 (Joe (B), Miller (B))</v>
      </c>
      <c r="C10" s="73"/>
      <c r="D10" s="73"/>
      <c r="E10" s="73"/>
    </row>
    <row r="11">
      <c r="A11" s="73"/>
      <c r="B11" s="73" t="str">
        <f>IFERROR(__xludf.DUMMYFUNCTION("""COMPUTED_VALUE"""),"Team 7 (Dave (W), Dutch (W))")</f>
        <v>Team 7 (Dave (W), Dutch (W))</v>
      </c>
      <c r="C11" s="73"/>
      <c r="D11" s="73"/>
      <c r="E11" s="73"/>
    </row>
    <row r="12">
      <c r="A12" s="73"/>
      <c r="B12" s="73" t="str">
        <f>IFERROR(__xludf.DUMMYFUNCTION("""COMPUTED_VALUE"""),"Team 8 (Matt (B), Will (B))")</f>
        <v>Team 8 (Matt (B), Will (B))</v>
      </c>
      <c r="C12" s="73"/>
      <c r="D12" s="73"/>
      <c r="E12" s="73"/>
    </row>
    <row r="13">
      <c r="A13" s="73"/>
      <c r="B13" s="73" t="str">
        <f>IFERROR(__xludf.DUMMYFUNCTION("""COMPUTED_VALUE"""),"Team 9 (Beeler (R), Tyler (R))")</f>
        <v>Team 9 (Beeler (R), Tyler (R))</v>
      </c>
      <c r="C13" s="73"/>
      <c r="D13" s="73"/>
      <c r="E13" s="7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</cols>
  <sheetData>
    <row r="1">
      <c r="A1" s="73" t="str">
        <f>IFERROR(__xludf.DUMMYFUNCTION("importhtml(""https://www.scrolf.com/mobile/Leaderboard.aspx?EventID=50739"", ""table"", 3)"),"")</f>
        <v/>
      </c>
      <c r="B1" s="66" t="str">
        <f>IFERROR(__xludf.DUMMYFUNCTION("""COMPUTED_VALUE"""),"Player/Team")</f>
        <v>Player/Team</v>
      </c>
      <c r="C1" s="66" t="str">
        <f>IFERROR(__xludf.DUMMYFUNCTION("""COMPUTED_VALUE"""),"To Par")</f>
        <v>To Par</v>
      </c>
      <c r="D1" s="66" t="str">
        <f>IFERROR(__xludf.DUMMYFUNCTION("""COMPUTED_VALUE"""),"Thru")</f>
        <v>Thru</v>
      </c>
      <c r="H1" s="66"/>
      <c r="I1" s="66"/>
      <c r="J1" s="66"/>
    </row>
    <row r="2">
      <c r="A2" s="61"/>
      <c r="B2" s="66" t="str">
        <f>IFERROR(__xludf.DUMMYFUNCTION("""COMPUTED_VALUE"""),"Adam/ Chad/ Marcus/Dave (W)")</f>
        <v>Adam/ Chad/ Marcus/Dave (W)</v>
      </c>
      <c r="C2" s="61"/>
      <c r="D2" s="61"/>
      <c r="G2" s="61"/>
      <c r="H2" s="66"/>
      <c r="I2" s="61"/>
      <c r="J2" s="61"/>
    </row>
    <row r="3">
      <c r="A3" s="66"/>
      <c r="B3" s="82" t="str">
        <f>IFERROR(__xludf.DUMMYFUNCTION("""COMPUTED_VALUE"""),"Andy/ Paul/ Andrew/Neil (A)")</f>
        <v>Andy/ Paul/ Andrew/Neil (A)</v>
      </c>
      <c r="C3" s="61"/>
      <c r="D3" s="61"/>
      <c r="G3" s="66"/>
      <c r="H3" s="82"/>
      <c r="I3" s="61"/>
      <c r="J3" s="61"/>
    </row>
    <row r="4">
      <c r="A4" s="66"/>
      <c r="B4" s="83" t="str">
        <f>IFERROR(__xludf.DUMMYFUNCTION("""COMPUTED_VALUE"""),"Joe/ Kelly/ Mikey/Matt (B)")</f>
        <v>Joe/ Kelly/ Mikey/Matt (B)</v>
      </c>
      <c r="C4" s="61"/>
      <c r="D4" s="61"/>
      <c r="G4" s="66"/>
      <c r="H4" s="83"/>
      <c r="I4" s="61"/>
      <c r="J4" s="61"/>
    </row>
    <row r="5">
      <c r="A5" s="66"/>
      <c r="B5" s="84" t="str">
        <f>IFERROR(__xludf.DUMMYFUNCTION("""COMPUTED_VALUE"""),"Mitch/Rocky (A)")</f>
        <v>Mitch/Rocky (A)</v>
      </c>
      <c r="C5" s="61"/>
      <c r="D5" s="61"/>
      <c r="G5" s="66"/>
      <c r="H5" s="84"/>
      <c r="I5" s="61"/>
      <c r="J5" s="61"/>
    </row>
    <row r="6">
      <c r="A6" s="66"/>
      <c r="B6" s="66" t="str">
        <f>IFERROR(__xludf.DUMMYFUNCTION("""COMPUTED_VALUE"""),"Rob/Dutch (W)")</f>
        <v>Rob/Dutch (W)</v>
      </c>
      <c r="C6" s="61"/>
      <c r="D6" s="61"/>
      <c r="G6" s="66"/>
      <c r="H6" s="66"/>
      <c r="I6" s="61"/>
      <c r="J6" s="61"/>
    </row>
    <row r="7">
      <c r="A7" s="61"/>
      <c r="B7" s="66" t="str">
        <f>IFERROR(__xludf.DUMMYFUNCTION("""COMPUTED_VALUE"""),"Troy/Ryan (R)")</f>
        <v>Troy/Ryan (R)</v>
      </c>
      <c r="C7" s="61"/>
      <c r="D7" s="61"/>
      <c r="G7" s="61"/>
      <c r="H7" s="66"/>
      <c r="I7" s="61"/>
      <c r="J7" s="61"/>
    </row>
    <row r="8">
      <c r="A8" s="61"/>
      <c r="B8" s="84" t="str">
        <f>IFERROR(__xludf.DUMMYFUNCTION("""COMPUTED_VALUE"""),"Tyler/ Riley/ Powell/ Beeler (R)")</f>
        <v>Tyler/ Riley/ Powell/ Beeler (R)</v>
      </c>
      <c r="C8" s="61"/>
      <c r="D8" s="61"/>
      <c r="G8" s="61"/>
      <c r="H8" s="84"/>
      <c r="I8" s="61"/>
      <c r="J8" s="61"/>
    </row>
    <row r="9">
      <c r="A9" s="61"/>
      <c r="B9" s="66" t="str">
        <f>IFERROR(__xludf.DUMMYFUNCTION("""COMPUTED_VALUE"""),"Will/Miller (B)")</f>
        <v>Will/Miller (B)</v>
      </c>
      <c r="C9" s="66"/>
      <c r="D9" s="61"/>
      <c r="G9" s="61"/>
      <c r="H9" s="66"/>
      <c r="I9" s="66"/>
      <c r="J9" s="6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5.75"/>
    <col customWidth="1" min="3" max="3" width="5.5"/>
    <col customWidth="1" min="4" max="4" width="13.75"/>
    <col customWidth="1" min="5" max="5" width="5.5"/>
    <col customWidth="1" min="6" max="6" width="13.75"/>
    <col customWidth="1" min="7" max="7" width="5.5"/>
    <col customWidth="1" min="8" max="8" width="13.75"/>
    <col customWidth="1" min="9" max="9" width="5.5"/>
    <col customWidth="1" min="10" max="10" width="13.75"/>
    <col customWidth="1" min="11" max="11" width="5.5"/>
    <col customWidth="1" min="12" max="12" width="13.75"/>
    <col customWidth="1" min="13" max="13" width="5.5"/>
    <col customWidth="1" min="14" max="14" width="13.75"/>
    <col customWidth="1" min="15" max="15" width="5.5"/>
    <col customWidth="1" min="16" max="16" width="13.75"/>
    <col customWidth="1" min="17" max="17" width="5.5"/>
    <col customWidth="1" min="18" max="18" width="13.75"/>
    <col customWidth="1" min="19" max="19" width="5.5"/>
    <col customWidth="1" min="20" max="20" width="13.75"/>
    <col customWidth="1" min="21" max="21" width="5.5"/>
    <col customWidth="1" min="22" max="22" width="13.75"/>
    <col customWidth="1" min="23" max="23" width="5.5"/>
    <col customWidth="1" min="24" max="24" width="13.75"/>
    <col customWidth="1" min="25" max="26" width="7.63"/>
  </cols>
  <sheetData>
    <row r="1" ht="14.25" customHeight="1"/>
    <row r="2" ht="14.25" customHeight="1"/>
    <row r="3" ht="14.25" customHeight="1">
      <c r="B3" s="197" t="s">
        <v>408</v>
      </c>
      <c r="C3" s="198"/>
      <c r="D3" s="198"/>
      <c r="F3" s="197" t="s">
        <v>409</v>
      </c>
      <c r="G3" s="198"/>
      <c r="H3" s="199"/>
      <c r="J3" s="197" t="s">
        <v>410</v>
      </c>
      <c r="K3" s="198"/>
    </row>
    <row r="4" ht="14.25" customHeight="1">
      <c r="B4" s="200" t="s">
        <v>64</v>
      </c>
      <c r="C4" s="200" t="s">
        <v>42</v>
      </c>
      <c r="D4" s="200" t="s">
        <v>411</v>
      </c>
      <c r="F4" s="200" t="s">
        <v>412</v>
      </c>
      <c r="G4" s="200" t="s">
        <v>42</v>
      </c>
      <c r="H4" s="200"/>
      <c r="J4" s="200" t="s">
        <v>412</v>
      </c>
      <c r="K4" s="200" t="s">
        <v>42</v>
      </c>
    </row>
    <row r="5" ht="14.25" customHeight="1">
      <c r="B5" s="201">
        <v>1.0</v>
      </c>
      <c r="C5" s="106">
        <v>2.0</v>
      </c>
      <c r="D5" s="73">
        <f t="shared" ref="D5:D8" si="1">C5*6</f>
        <v>12</v>
      </c>
      <c r="F5" s="201">
        <v>1.0</v>
      </c>
      <c r="G5" s="106">
        <v>8.0</v>
      </c>
      <c r="J5" s="201">
        <v>1.0</v>
      </c>
      <c r="K5" s="106">
        <v>10.0</v>
      </c>
    </row>
    <row r="6" ht="14.25" customHeight="1">
      <c r="B6" s="201">
        <v>2.0</v>
      </c>
      <c r="C6" s="73">
        <v>1.0</v>
      </c>
      <c r="D6" s="73">
        <f t="shared" si="1"/>
        <v>6</v>
      </c>
      <c r="F6" s="201">
        <v>2.0</v>
      </c>
      <c r="G6" s="106">
        <v>6.0</v>
      </c>
      <c r="J6" s="201">
        <v>2.0</v>
      </c>
      <c r="K6" s="73">
        <v>7.0</v>
      </c>
    </row>
    <row r="7" ht="14.25" customHeight="1">
      <c r="B7" s="201">
        <v>3.0</v>
      </c>
      <c r="C7" s="73">
        <v>0.5</v>
      </c>
      <c r="D7" s="73">
        <f t="shared" si="1"/>
        <v>3</v>
      </c>
      <c r="F7" s="201">
        <v>3.0</v>
      </c>
      <c r="G7" s="106">
        <v>5.0</v>
      </c>
      <c r="J7" s="201">
        <v>3.0</v>
      </c>
      <c r="K7" s="73">
        <v>5.0</v>
      </c>
    </row>
    <row r="8" ht="14.25" customHeight="1">
      <c r="B8" s="201">
        <v>4.0</v>
      </c>
      <c r="C8" s="73">
        <v>0.0</v>
      </c>
      <c r="D8" s="200">
        <f t="shared" si="1"/>
        <v>0</v>
      </c>
      <c r="F8" s="201">
        <v>4.0</v>
      </c>
      <c r="G8" s="106">
        <v>4.0</v>
      </c>
      <c r="J8" s="201">
        <v>4.0</v>
      </c>
      <c r="K8" s="73">
        <v>3.0</v>
      </c>
    </row>
    <row r="9" ht="14.25" customHeight="1">
      <c r="F9" s="201">
        <v>5.0</v>
      </c>
      <c r="G9" s="106">
        <v>3.0</v>
      </c>
      <c r="J9" s="201">
        <v>5.0</v>
      </c>
      <c r="K9" s="73">
        <v>2.0</v>
      </c>
    </row>
    <row r="10" ht="14.25" customHeight="1">
      <c r="D10" s="73">
        <f>SUM(D5:D9)</f>
        <v>21</v>
      </c>
      <c r="F10" s="201">
        <v>6.0</v>
      </c>
      <c r="G10" s="106">
        <v>2.0</v>
      </c>
      <c r="J10" s="201">
        <v>6.0</v>
      </c>
      <c r="K10" s="73">
        <v>1.0</v>
      </c>
    </row>
    <row r="11" ht="14.25" customHeight="1">
      <c r="F11" s="201">
        <v>7.0</v>
      </c>
      <c r="G11" s="106">
        <v>1.0</v>
      </c>
      <c r="J11" s="201">
        <v>7.0</v>
      </c>
      <c r="K11" s="73">
        <v>0.0</v>
      </c>
    </row>
    <row r="12" ht="14.25" customHeight="1">
      <c r="F12" s="201">
        <v>8.0</v>
      </c>
      <c r="G12" s="106">
        <v>0.0</v>
      </c>
      <c r="J12" s="201">
        <v>8.0</v>
      </c>
      <c r="K12" s="73">
        <v>0.0</v>
      </c>
    </row>
    <row r="13" ht="14.25" customHeight="1">
      <c r="F13" s="201">
        <v>9.0</v>
      </c>
      <c r="G13" s="106">
        <v>0.0</v>
      </c>
    </row>
    <row r="14" ht="14.25" customHeight="1">
      <c r="F14" s="201">
        <v>10.0</v>
      </c>
      <c r="G14" s="106">
        <v>-1.0</v>
      </c>
      <c r="K14" s="73">
        <f>SUM(K5:K12)</f>
        <v>28</v>
      </c>
    </row>
    <row r="15" ht="14.25" customHeight="1">
      <c r="F15" s="201">
        <v>11.0</v>
      </c>
      <c r="G15" s="106">
        <v>-2.0</v>
      </c>
    </row>
    <row r="16" ht="14.25" customHeight="1">
      <c r="B16" s="199"/>
      <c r="C16" s="199"/>
      <c r="F16" s="201">
        <v>12.0</v>
      </c>
      <c r="G16" s="106">
        <v>-3.0</v>
      </c>
    </row>
    <row r="17" ht="14.25" customHeight="1">
      <c r="B17" s="199"/>
      <c r="C17" s="199"/>
    </row>
    <row r="18" ht="14.25" customHeight="1">
      <c r="B18" s="197" t="s">
        <v>413</v>
      </c>
      <c r="C18" s="198"/>
      <c r="G18" s="73">
        <f>SUM(G5:G16)</f>
        <v>23</v>
      </c>
    </row>
    <row r="19" ht="14.25" customHeight="1">
      <c r="B19" s="106" t="s">
        <v>414</v>
      </c>
      <c r="C19" s="106">
        <v>3.0</v>
      </c>
    </row>
    <row r="20" ht="14.25" customHeight="1">
      <c r="B20" s="106" t="s">
        <v>415</v>
      </c>
      <c r="C20" s="106">
        <v>1.0</v>
      </c>
    </row>
    <row r="21" ht="14.25" customHeight="1">
      <c r="B21" s="106" t="s">
        <v>392</v>
      </c>
      <c r="C21" s="106">
        <v>0.0</v>
      </c>
    </row>
    <row r="22" ht="14.25" customHeight="1"/>
    <row r="23" ht="14.25" customHeight="1">
      <c r="B23" s="197" t="s">
        <v>416</v>
      </c>
      <c r="C23" s="198"/>
    </row>
    <row r="24" ht="14.25" customHeight="1">
      <c r="B24" s="201">
        <v>1.0</v>
      </c>
      <c r="C24" s="74">
        <f>If(SUMPRODUCT(COUNTIF(ScrambleLeaderboard,"T1"))&gt;0, vlookup(SUMPRODUCT(COUNTIF(ScrambleLeaderboard,"T1")), ScramblePointsFirst, 2, false), ScramblePointsFirstDefault)</f>
        <v>10</v>
      </c>
    </row>
    <row r="25" ht="14.25" customHeight="1">
      <c r="B25" s="201">
        <v>2.0</v>
      </c>
      <c r="C25" s="73">
        <f>If(SUMPRODUCT(COUNTIF(ScrambleLeaderboard,"T2"))&gt;0, vlookup(SUMPRODUCT(COUNTIF(ScrambleLeaderboard,"T2")), ScramblePointsSecond, 2, false), ScramblePointsSecondDefault)</f>
        <v>7</v>
      </c>
    </row>
    <row r="26" ht="14.25" customHeight="1">
      <c r="B26" s="201">
        <v>3.0</v>
      </c>
      <c r="C26" s="73">
        <f>If(SUMPRODUCT(COUNTIF(ScrambleLeaderboard,"T3"))&gt;0, vlookup(SUMPRODUCT(COUNTIF(ScrambleLeaderboard,"T3")), ScramblePointsThird, 2, false), ScramblePointsThirdDefault)</f>
        <v>5</v>
      </c>
    </row>
    <row r="27" ht="14.25" customHeight="1">
      <c r="B27" s="201">
        <v>4.0</v>
      </c>
      <c r="C27" s="73">
        <f>If(SUMPRODUCT(COUNTIF(ScrambleLeaderboard,"T4"))&gt;0, vlookup(SUMPRODUCT(COUNTIF(ScrambleLeaderboard,"T4")), ScramblePointsFourth, 2, false), ScramblePointsFourthDefault)</f>
        <v>3</v>
      </c>
    </row>
    <row r="28" ht="14.25" customHeight="1">
      <c r="B28" s="201">
        <v>5.0</v>
      </c>
      <c r="C28" s="73">
        <f>If(SUMPRODUCT(COUNTIF(ScrambleLeaderboard,"T5"))&gt;0, vlookup(SUMPRODUCT(COUNTIF(ScrambleLeaderboard,"T5")), ScramblePointsFifth, 2, false), ScramblePointsFifthDefault)</f>
        <v>2</v>
      </c>
    </row>
    <row r="29" ht="14.25" customHeight="1">
      <c r="B29" s="201">
        <v>6.0</v>
      </c>
      <c r="C29" s="74">
        <f>If(SUMPRODUCT(COUNTIF(ScrambleLeaderboard,"T6"))&gt;0, vlookup(SUMPRODUCT(COUNTIF(ScrambleLeaderboard,"T6")), ScramblePointsSixth, 2, false), ScramblePointsSixthDefault)</f>
        <v>1</v>
      </c>
    </row>
    <row r="30" ht="14.25" customHeight="1">
      <c r="B30" s="201">
        <v>7.0</v>
      </c>
      <c r="C30" s="73">
        <f>If(SUMPRODUCT(COUNTIF(ScrambleLeaderboard,"T7"))&gt;0, vlookup(SUMPRODUCT(COUNTIF(ScrambleLeaderboard,"T7")), ScramblePointsSeventh, 2, false), ScramblePointsSeventhDefault)</f>
        <v>0</v>
      </c>
    </row>
    <row r="31" ht="14.25" customHeight="1">
      <c r="B31" s="201">
        <v>8.0</v>
      </c>
      <c r="C31" s="73">
        <f>If(SUMPRODUCT(COUNTIF(ScrambleLeaderboard,"T8"))&gt;0, vlookup(SUMPRODUCT(COUNTIF(ScrambleLeaderboard,"T8")), ScramblePointsEighth, 2, false), ScramblePointsEighthDefault)</f>
        <v>0</v>
      </c>
    </row>
    <row r="32" ht="14.25" customHeight="1"/>
    <row r="33" ht="14.25" customHeight="1">
      <c r="B33" s="202" t="s">
        <v>417</v>
      </c>
      <c r="D33" s="202" t="s">
        <v>418</v>
      </c>
      <c r="F33" s="202" t="s">
        <v>419</v>
      </c>
      <c r="H33" s="202" t="s">
        <v>420</v>
      </c>
      <c r="J33" s="202" t="s">
        <v>421</v>
      </c>
      <c r="L33" s="202" t="s">
        <v>422</v>
      </c>
      <c r="N33" s="202" t="s">
        <v>423</v>
      </c>
      <c r="P33" s="202" t="s">
        <v>424</v>
      </c>
    </row>
    <row r="34" ht="14.25" customHeight="1">
      <c r="B34" s="66" t="s">
        <v>425</v>
      </c>
      <c r="C34" s="66" t="s">
        <v>42</v>
      </c>
      <c r="D34" s="66" t="s">
        <v>425</v>
      </c>
      <c r="E34" s="66" t="s">
        <v>42</v>
      </c>
      <c r="F34" s="66" t="s">
        <v>425</v>
      </c>
      <c r="G34" s="66" t="s">
        <v>42</v>
      </c>
      <c r="H34" s="66" t="s">
        <v>425</v>
      </c>
      <c r="I34" s="66" t="s">
        <v>42</v>
      </c>
      <c r="J34" s="66" t="s">
        <v>425</v>
      </c>
      <c r="K34" s="66" t="s">
        <v>42</v>
      </c>
      <c r="L34" s="66" t="s">
        <v>425</v>
      </c>
      <c r="M34" s="66" t="s">
        <v>42</v>
      </c>
      <c r="N34" s="66" t="s">
        <v>425</v>
      </c>
      <c r="O34" s="66" t="s">
        <v>42</v>
      </c>
      <c r="P34" s="66" t="s">
        <v>425</v>
      </c>
      <c r="Q34" s="66" t="s">
        <v>42</v>
      </c>
    </row>
    <row r="35" ht="14.25" customHeight="1">
      <c r="B35" s="61">
        <v>1.0</v>
      </c>
      <c r="C35" s="61">
        <f>_xlfn.Floor.Math(K5, 0.5, 1)</f>
        <v>10</v>
      </c>
      <c r="D35" s="61">
        <v>1.0</v>
      </c>
      <c r="E35" s="61">
        <f>_xlfn.Floor.Math(K6, 0.5, 1)</f>
        <v>7</v>
      </c>
      <c r="F35" s="61">
        <v>1.0</v>
      </c>
      <c r="G35" s="61">
        <f>_xlfn.Floor.Math(K7, 0.5, 1)</f>
        <v>5</v>
      </c>
      <c r="H35" s="61">
        <v>1.0</v>
      </c>
      <c r="I35" s="61">
        <f>_xlfn.Floor.Math(K8, 0.5, 1)</f>
        <v>3</v>
      </c>
      <c r="J35" s="61">
        <v>1.0</v>
      </c>
      <c r="K35" s="61">
        <f>_xlfn.Floor.Math(K9, 0.5, 1)</f>
        <v>2</v>
      </c>
      <c r="L35" s="61">
        <v>1.0</v>
      </c>
      <c r="M35" s="61">
        <f>_xlfn.Floor.Math(K10, 0.5, 1)</f>
        <v>1</v>
      </c>
      <c r="N35" s="61">
        <v>1.0</v>
      </c>
      <c r="O35" s="61">
        <f>_xlfn.Floor.Math(K11, 0.5, 1)</f>
        <v>0</v>
      </c>
      <c r="P35" s="61">
        <v>1.0</v>
      </c>
      <c r="Q35" s="61">
        <f>_xlfn.Floor.Math(K12, 0.5, 1)</f>
        <v>0</v>
      </c>
    </row>
    <row r="36" ht="14.25" customHeight="1">
      <c r="B36" s="61">
        <v>2.0</v>
      </c>
      <c r="C36" s="61">
        <f>_xlfn.Floor.Math((K5+K6)/2, 0.5, 1)</f>
        <v>8.5</v>
      </c>
      <c r="D36" s="61">
        <v>2.0</v>
      </c>
      <c r="E36" s="61">
        <f>_xlfn.Floor.Math((K6+K7)/2, 0.5, 1)</f>
        <v>6</v>
      </c>
      <c r="F36" s="61">
        <v>2.0</v>
      </c>
      <c r="G36" s="61">
        <f>_xlfn.Floor.Math((K7+K8)/2, 0.5, 1)</f>
        <v>4</v>
      </c>
      <c r="H36" s="61">
        <v>2.0</v>
      </c>
      <c r="I36" s="61">
        <f>_xlfn.Floor.Math((K8+K9)/2, 0.5, 1)</f>
        <v>2.5</v>
      </c>
      <c r="J36" s="61">
        <v>2.0</v>
      </c>
      <c r="K36" s="61">
        <f>_xlfn.Floor.Math((K9+K10)/2, 0.5, 1)</f>
        <v>1.5</v>
      </c>
      <c r="L36" s="61">
        <v>2.0</v>
      </c>
      <c r="M36" s="61">
        <f>_xlfn.Floor.Math((K10+K11)/2, 0.5, 1)</f>
        <v>0.5</v>
      </c>
      <c r="N36" s="61">
        <v>2.0</v>
      </c>
      <c r="O36" s="61">
        <f>_xlfn.Floor.Math((K11+K12)/2, 0.5, 1)</f>
        <v>0</v>
      </c>
      <c r="P36" s="66"/>
      <c r="Q36" s="66"/>
    </row>
    <row r="37" ht="14.25" customHeight="1">
      <c r="B37" s="61">
        <v>3.0</v>
      </c>
      <c r="C37" s="61">
        <f>_xlfn.Floor.Math((K5+K6+K7)/3, 0.5, 1)</f>
        <v>7</v>
      </c>
      <c r="D37" s="61">
        <v>3.0</v>
      </c>
      <c r="E37" s="61">
        <f>_xlfn.Floor.Math((K6+K7+K8)/3, 0.5, 1)</f>
        <v>5</v>
      </c>
      <c r="F37" s="61">
        <v>3.0</v>
      </c>
      <c r="G37" s="61">
        <f>_xlfn.Floor.Math((K7+K8+K9)/3, 0.5, 1)</f>
        <v>3</v>
      </c>
      <c r="H37" s="61">
        <v>3.0</v>
      </c>
      <c r="I37" s="61">
        <f>_xlfn.Floor.Math((K8+K9+K10)/3, 0.5, 1)</f>
        <v>2</v>
      </c>
      <c r="J37" s="61">
        <v>3.0</v>
      </c>
      <c r="K37" s="61">
        <f>_xlfn.Floor.Math((K9+K10+K11)/3, 0.5, 1)</f>
        <v>1</v>
      </c>
      <c r="L37" s="61">
        <v>3.0</v>
      </c>
      <c r="M37" s="61">
        <f>_xlfn.Floor.Math((K10+K11+K12)/3, 0.5, 1)</f>
        <v>0</v>
      </c>
      <c r="N37" s="66"/>
      <c r="O37" s="66"/>
      <c r="P37" s="66"/>
      <c r="Q37" s="66"/>
    </row>
    <row r="38" ht="14.25" customHeight="1">
      <c r="B38" s="61">
        <v>4.0</v>
      </c>
      <c r="C38" s="61">
        <f>_xlfn.Floor.Math((K5+K6+K7+K8)/4, 0.5, 1)</f>
        <v>6</v>
      </c>
      <c r="D38" s="61">
        <v>4.0</v>
      </c>
      <c r="E38" s="61">
        <f>_xlfn.Floor.Math((K6+K7+K8+K9)/4, 0.5, 1)</f>
        <v>4</v>
      </c>
      <c r="F38" s="61">
        <v>4.0</v>
      </c>
      <c r="G38" s="61">
        <f>_xlfn.Floor.Math((K7+K8+K9+K10)/4, 0.5, 1)</f>
        <v>2.5</v>
      </c>
      <c r="H38" s="61">
        <v>4.0</v>
      </c>
      <c r="I38" s="61">
        <f>_xlfn.Floor.Math((K8+K9+K10+K11)/4, 0.5, 1)</f>
        <v>1.5</v>
      </c>
      <c r="J38" s="61">
        <v>4.0</v>
      </c>
      <c r="K38" s="61">
        <f>_xlfn.Floor.Math((K9+K10+K11+K12)/4, 0.5, 1)</f>
        <v>0.5</v>
      </c>
      <c r="L38" s="66"/>
      <c r="M38" s="66"/>
      <c r="N38" s="66"/>
      <c r="O38" s="66"/>
      <c r="P38" s="66"/>
      <c r="Q38" s="66"/>
    </row>
    <row r="39" ht="14.25" customHeight="1">
      <c r="B39" s="61">
        <v>5.0</v>
      </c>
      <c r="C39" s="61">
        <f>_xlfn.Floor.Math((K5+K6+K7+K8+K9)/5, 0.5, 1)</f>
        <v>5</v>
      </c>
      <c r="D39" s="61">
        <v>5.0</v>
      </c>
      <c r="E39" s="61">
        <f>_xlfn.Floor.Math((K6+K7+K8+K9+K10)/5, 0.5, 1)</f>
        <v>3.5</v>
      </c>
      <c r="F39" s="61">
        <v>5.0</v>
      </c>
      <c r="G39" s="61">
        <f>_xlfn.Floor.Math((K7+K8+K9+K10+K11)/5, 0.5, 1)</f>
        <v>2</v>
      </c>
      <c r="H39" s="61">
        <v>5.0</v>
      </c>
      <c r="I39" s="61">
        <f>_xlfn.Floor.Math((K8+K9+K10+K11+K12)/5, 0.5, 1)</f>
        <v>1</v>
      </c>
      <c r="J39" s="66"/>
      <c r="K39" s="66"/>
      <c r="L39" s="66"/>
      <c r="M39" s="66"/>
      <c r="N39" s="66"/>
      <c r="O39" s="66"/>
      <c r="P39" s="66"/>
      <c r="Q39" s="66"/>
    </row>
    <row r="40" ht="14.25" customHeight="1">
      <c r="B40" s="61">
        <v>6.0</v>
      </c>
      <c r="C40" s="61">
        <f>_xlfn.Floor.Math((K5+K6+K7+K8+K9+K10)/6, 0.5, 1)</f>
        <v>4.5</v>
      </c>
      <c r="D40" s="61">
        <v>6.0</v>
      </c>
      <c r="E40" s="61">
        <f>_xlfn.Floor.Math((K6+K7+K8+K9+K10+K11)/6, 0.5, 1)</f>
        <v>3</v>
      </c>
      <c r="F40" s="61">
        <v>6.0</v>
      </c>
      <c r="G40" s="61">
        <f>_xlfn.Floor.Math((K7+K8+K9+K10+K11+K12)/6, 0.5, 1)</f>
        <v>1.5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</row>
    <row r="41" ht="14.25" customHeight="1">
      <c r="B41" s="61">
        <v>7.0</v>
      </c>
      <c r="C41" s="61">
        <f>_xlfn.Floor.Math((K5+K6+K7+K8+K9+K10+K11)/7,0.5, 1)</f>
        <v>4</v>
      </c>
      <c r="D41" s="61">
        <v>7.0</v>
      </c>
      <c r="E41" s="61">
        <f>_xlfn.Floor.Math((K6+K7+K8+K9+K10+K11+K12)/7,0.5, 1)</f>
        <v>2.5</v>
      </c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</row>
    <row r="42" ht="14.25" customHeight="1">
      <c r="B42" s="61">
        <v>8.0</v>
      </c>
      <c r="C42" s="61">
        <f>_xlfn.Floor.Math((K5+K6+K7+K8+K9+K10+K11+K12)/8, 0.5, 1)</f>
        <v>3.5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</row>
    <row r="43" ht="14.25" customHeight="1"/>
    <row r="44" ht="14.25" customHeight="1">
      <c r="B44" s="203" t="s">
        <v>426</v>
      </c>
      <c r="C44" s="198"/>
    </row>
    <row r="45" ht="14.25" customHeight="1">
      <c r="B45" s="201">
        <v>1.0</v>
      </c>
      <c r="C45" s="74">
        <f>If(SUMPRODUCT(COUNTIF(BestBallLeaderboard,"T1"))&gt;0, vlookup(SUMPRODUCT(COUNTIF(BestBallLeaderboard,"T1")), BestBallPointsFirst, 2, false), BestBallPointsFirstDefault)</f>
        <v>8</v>
      </c>
    </row>
    <row r="46" ht="14.25" customHeight="1">
      <c r="B46" s="201">
        <v>2.0</v>
      </c>
      <c r="C46" s="73">
        <f>If(SUMPRODUCT(COUNTIF(BestBallLeaderboard,"T2"))&gt;0, vlookup(SUMPRODUCT(COUNTIF(BestBallLeaderboard,"T2")), BestBallPointsSecond, 2, false), BestBallPointsSecondDefault)</f>
        <v>6</v>
      </c>
    </row>
    <row r="47" ht="14.25" customHeight="1">
      <c r="B47" s="201">
        <v>3.0</v>
      </c>
      <c r="C47" s="73">
        <f>If(SUMPRODUCT(COUNTIF(BestBallLeaderboard,"T3"))&gt;0, vlookup(SUMPRODUCT(COUNTIF(BestBallLeaderboard,"T3")), BestBallPointsThird, 2, false), BestBallPointsThirdDefault)</f>
        <v>5</v>
      </c>
    </row>
    <row r="48" ht="14.25" customHeight="1">
      <c r="B48" s="201">
        <v>4.0</v>
      </c>
      <c r="C48" s="73">
        <f>If(SUMPRODUCT(COUNTIF(BestBallLeaderboard,"T4"))&gt;0, vlookup(SUMPRODUCT(COUNTIF(BestBallLeaderboard,"T4")), BestBallPointsFourth, 2, false), BestBallPointsFourthDefault)</f>
        <v>4</v>
      </c>
    </row>
    <row r="49" ht="14.25" customHeight="1">
      <c r="B49" s="201">
        <v>5.0</v>
      </c>
      <c r="C49" s="73">
        <f>If(SUMPRODUCT(COUNTIF(BestBallLeaderboard,"T5"))&gt;0, vlookup(SUMPRODUCT(COUNTIF(BestBallLeaderboard,"T5")), BestBallPointsFifth, 2, false), BestBallPointsFifthDefault)</f>
        <v>3</v>
      </c>
    </row>
    <row r="50" ht="14.25" customHeight="1">
      <c r="B50" s="201">
        <v>6.0</v>
      </c>
      <c r="C50" s="74">
        <f>If(SUMPRODUCT(COUNTIF(BestBallLeaderboard,"T6"))&gt;0, vlookup(SUMPRODUCT(COUNTIF(BestBallLeaderboard,"T6")), BestBallPointsSixth, 2, false), BestBallPointsSixthDefault)</f>
        <v>2</v>
      </c>
    </row>
    <row r="51" ht="14.25" customHeight="1">
      <c r="B51" s="201">
        <v>7.0</v>
      </c>
      <c r="C51" s="73">
        <f>If(SUMPRODUCT(COUNTIF(BestBallLeaderboard,"T7"))&gt;0, vlookup(SUMPRODUCT(COUNTIF(BestBallLeaderboard,"T7")), BestBallPointsSeventh, 2, false), BestBallPointsSeventhDefault)</f>
        <v>1</v>
      </c>
    </row>
    <row r="52" ht="14.25" customHeight="1">
      <c r="B52" s="201">
        <v>8.0</v>
      </c>
      <c r="C52" s="73">
        <f>If(SUMPRODUCT(COUNTIF(BestBallLeaderboard,"T8"))&gt;0, vlookup(SUMPRODUCT(COUNTIF(BestBallLeaderboard,"T8")), BestBallPointsEighth, 2, false), BestBallPointsEighthDefault)</f>
        <v>0</v>
      </c>
    </row>
    <row r="53" ht="14.25" customHeight="1">
      <c r="B53" s="106">
        <v>9.0</v>
      </c>
      <c r="C53" s="74">
        <f>If(SUMPRODUCT(COUNTIF(BestBallLeaderboard,"T1"))&gt;0, vlookup(SUMPRODUCT(COUNTIF(BestBallLeaderboard,"T1")), BestBallPointsNineth, 2, false), BestBallPointsNinethDefault)</f>
        <v>0</v>
      </c>
    </row>
    <row r="54" ht="14.25" customHeight="1">
      <c r="B54" s="106">
        <v>10.0</v>
      </c>
      <c r="C54" s="73">
        <f>If(SUMPRODUCT(COUNTIF(BestBallLeaderboard,"T2"))&gt;0, vlookup(SUMPRODUCT(COUNTIF(BestBallLeaderboard,"T2")), BestBallPointsTenth, 2, false), BestBallPointsTenthDefault)</f>
        <v>-1</v>
      </c>
    </row>
    <row r="55" ht="14.25" customHeight="1">
      <c r="B55" s="106">
        <v>11.0</v>
      </c>
      <c r="C55" s="73">
        <f>If(SUMPRODUCT(COUNTIF(BestBallLeaderboard,"T3"))&gt;0, vlookup(SUMPRODUCT(COUNTIF(BestBallLeaderboard,"T3")), BestBallPointsEleventh, 2, false), BestBallPointsEleventhDefault)</f>
        <v>-2</v>
      </c>
    </row>
    <row r="56" ht="14.25" customHeight="1">
      <c r="B56" s="106">
        <v>12.0</v>
      </c>
      <c r="C56" s="73">
        <f>If(SUMPRODUCT(COUNTIF(BestBallLeaderboard,"T4"))&gt;0, vlookup(SUMPRODUCT(COUNTIF(BestBallLeaderboard,"T4")), BestBallPointsTwelvth, 2, false), BestBallPointsTwelvthDefault)</f>
        <v>-3</v>
      </c>
    </row>
    <row r="57" ht="14.25" customHeight="1"/>
    <row r="58" ht="14.25" customHeight="1">
      <c r="B58" s="202" t="s">
        <v>417</v>
      </c>
      <c r="D58" s="202" t="s">
        <v>418</v>
      </c>
      <c r="F58" s="202" t="s">
        <v>419</v>
      </c>
      <c r="H58" s="202" t="s">
        <v>420</v>
      </c>
      <c r="J58" s="202" t="s">
        <v>421</v>
      </c>
      <c r="L58" s="202" t="s">
        <v>422</v>
      </c>
      <c r="N58" s="202" t="s">
        <v>423</v>
      </c>
      <c r="P58" s="202" t="s">
        <v>424</v>
      </c>
      <c r="R58" s="204" t="s">
        <v>427</v>
      </c>
      <c r="T58" s="204" t="s">
        <v>428</v>
      </c>
      <c r="V58" s="204" t="s">
        <v>429</v>
      </c>
      <c r="X58" s="204" t="s">
        <v>430</v>
      </c>
    </row>
    <row r="59" ht="14.25" customHeight="1">
      <c r="B59" s="66" t="s">
        <v>425</v>
      </c>
      <c r="C59" s="66" t="s">
        <v>42</v>
      </c>
      <c r="D59" s="66" t="s">
        <v>425</v>
      </c>
      <c r="E59" s="66" t="s">
        <v>42</v>
      </c>
      <c r="F59" s="66" t="s">
        <v>425</v>
      </c>
      <c r="G59" s="66" t="s">
        <v>42</v>
      </c>
      <c r="H59" s="66" t="s">
        <v>425</v>
      </c>
      <c r="I59" s="66" t="s">
        <v>42</v>
      </c>
      <c r="J59" s="66" t="s">
        <v>425</v>
      </c>
      <c r="K59" s="66" t="s">
        <v>42</v>
      </c>
      <c r="L59" s="66" t="s">
        <v>425</v>
      </c>
      <c r="M59" s="66" t="s">
        <v>42</v>
      </c>
      <c r="N59" s="66" t="s">
        <v>425</v>
      </c>
      <c r="O59" s="66" t="s">
        <v>42</v>
      </c>
      <c r="P59" s="66" t="s">
        <v>425</v>
      </c>
      <c r="Q59" s="66" t="s">
        <v>42</v>
      </c>
      <c r="R59" s="66" t="s">
        <v>425</v>
      </c>
      <c r="S59" s="66" t="s">
        <v>42</v>
      </c>
      <c r="T59" s="66" t="s">
        <v>425</v>
      </c>
      <c r="U59" s="66" t="s">
        <v>42</v>
      </c>
      <c r="V59" s="66" t="s">
        <v>425</v>
      </c>
      <c r="W59" s="66" t="s">
        <v>42</v>
      </c>
      <c r="X59" s="66" t="s">
        <v>425</v>
      </c>
      <c r="Y59" s="66" t="s">
        <v>42</v>
      </c>
    </row>
    <row r="60" ht="14.25" customHeight="1">
      <c r="B60" s="61">
        <v>1.0</v>
      </c>
      <c r="C60" s="61">
        <f>_xlfn.Floor.Math(G5, 0.5, 1)</f>
        <v>8</v>
      </c>
      <c r="D60" s="61">
        <v>1.0</v>
      </c>
      <c r="E60" s="61">
        <f>_xlfn.Floor.Math(G6, 0.5, 1)</f>
        <v>6</v>
      </c>
      <c r="F60" s="61">
        <v>1.0</v>
      </c>
      <c r="G60" s="61">
        <f>_xlfn.Floor.Math(G7, 0.5, 1)</f>
        <v>5</v>
      </c>
      <c r="H60" s="61">
        <v>1.0</v>
      </c>
      <c r="I60" s="61">
        <f>_xlfn.Floor.Math(G8, 0.5, 1)</f>
        <v>4</v>
      </c>
      <c r="J60" s="61">
        <v>1.0</v>
      </c>
      <c r="K60" s="61">
        <f>_xlfn.Floor.Math(G9, 0.5, 1)</f>
        <v>3</v>
      </c>
      <c r="L60" s="61">
        <v>1.0</v>
      </c>
      <c r="M60" s="61">
        <f>_xlfn.Floor.Math(G10, 0.5, 1)</f>
        <v>2</v>
      </c>
      <c r="N60" s="61">
        <v>1.0</v>
      </c>
      <c r="O60" s="61">
        <f>_xlfn.Floor.Math(G11, 0.5, 1)</f>
        <v>1</v>
      </c>
      <c r="P60" s="61">
        <v>1.0</v>
      </c>
      <c r="Q60" s="61">
        <f>_xlfn.Floor.Math(G12, 0.5, 1)</f>
        <v>0</v>
      </c>
      <c r="R60" s="61">
        <v>1.0</v>
      </c>
      <c r="S60" s="61">
        <f>_xlfn.Floor.Math(G13, 0.5, 1)</f>
        <v>0</v>
      </c>
      <c r="T60" s="61">
        <v>1.0</v>
      </c>
      <c r="U60" s="61">
        <f>_xlfn.Floor.Math(G14, 0.5, 1)</f>
        <v>-1</v>
      </c>
      <c r="V60" s="61">
        <v>1.0</v>
      </c>
      <c r="W60" s="61">
        <f>_xlfn.Floor.Math(G15, 0.5, 1)</f>
        <v>-2</v>
      </c>
      <c r="X60" s="61">
        <v>1.0</v>
      </c>
      <c r="Y60" s="61">
        <f>_xlfn.Floor.Math(G16, 0.5, 1)</f>
        <v>-3</v>
      </c>
    </row>
    <row r="61" ht="14.25" customHeight="1">
      <c r="B61" s="61">
        <v>2.0</v>
      </c>
      <c r="C61" s="61">
        <f>_xlfn.Floor.Math((G5+G6)/2, 0.5, 1)</f>
        <v>7</v>
      </c>
      <c r="D61" s="61">
        <v>2.0</v>
      </c>
      <c r="E61" s="61">
        <f>_xlfn.Floor.Math((G6+G7)/2, 0.5, 1)</f>
        <v>5.5</v>
      </c>
      <c r="F61" s="61">
        <v>2.0</v>
      </c>
      <c r="G61" s="61">
        <f>_xlfn.Floor.Math((G7+G8)/2, 0.5, 1)</f>
        <v>4.5</v>
      </c>
      <c r="H61" s="61">
        <v>2.0</v>
      </c>
      <c r="I61" s="61">
        <f>_xlfn.Floor.Math((G8+G9)/2, 0.5, 1)</f>
        <v>3.5</v>
      </c>
      <c r="J61" s="61">
        <v>2.0</v>
      </c>
      <c r="K61" s="61">
        <f>_xlfn.Floor.Math((G9+G10)/2, 0.5, 1)</f>
        <v>2.5</v>
      </c>
      <c r="L61" s="61">
        <v>2.0</v>
      </c>
      <c r="M61" s="61">
        <f>_xlfn.Floor.Math((G10+G11)/2, 0.5, 1)</f>
        <v>1.5</v>
      </c>
      <c r="N61" s="61">
        <v>2.0</v>
      </c>
      <c r="O61" s="61">
        <f>_xlfn.Floor.Math((G11+G12)/2, 0.5, 1)</f>
        <v>0.5</v>
      </c>
      <c r="P61" s="61">
        <v>2.0</v>
      </c>
      <c r="Q61" s="61">
        <f>_xlfn.Floor.Math((G12+G13)/2, 0.5, 1)</f>
        <v>0</v>
      </c>
      <c r="R61" s="61">
        <v>2.0</v>
      </c>
      <c r="S61" s="61">
        <f>_xlfn.Floor.Math((G13+G14)/2, 0.5, 1)</f>
        <v>-0.5</v>
      </c>
      <c r="T61" s="61">
        <v>2.0</v>
      </c>
      <c r="U61" s="61">
        <f>_xlfn.Floor.Math((G14+G15)/2, 0.5, 1)</f>
        <v>-1.5</v>
      </c>
      <c r="V61" s="61">
        <v>2.0</v>
      </c>
      <c r="W61" s="61">
        <f>_xlfn.Floor.Math((G15+G16)/2, 0.5, 1)</f>
        <v>-2.5</v>
      </c>
      <c r="X61" s="61"/>
      <c r="Y61" s="61"/>
    </row>
    <row r="62" ht="14.25" customHeight="1">
      <c r="B62" s="61">
        <v>3.0</v>
      </c>
      <c r="C62" s="61">
        <f>_xlfn.Floor.Math((G5+G6+G7)/3, 0.5, 1)</f>
        <v>6</v>
      </c>
      <c r="D62" s="61">
        <v>3.0</v>
      </c>
      <c r="E62" s="61">
        <f>_xlfn.Floor.Math((G6+G7+G8)/3, 0.5, 1)</f>
        <v>5</v>
      </c>
      <c r="F62" s="61">
        <v>3.0</v>
      </c>
      <c r="G62" s="61">
        <f>_xlfn.Floor.Math((G7+G8+G9)/3, 0.5, 1)</f>
        <v>4</v>
      </c>
      <c r="H62" s="61">
        <v>3.0</v>
      </c>
      <c r="I62" s="61">
        <f>_xlfn.Floor.Math((G8+G9+G10)/3, 0.5, 1)</f>
        <v>3</v>
      </c>
      <c r="J62" s="61">
        <v>3.0</v>
      </c>
      <c r="K62" s="61">
        <f>_xlfn.Floor.Math((G9+G10+G11)/3, 0.5, 1)</f>
        <v>2</v>
      </c>
      <c r="L62" s="61">
        <v>3.0</v>
      </c>
      <c r="M62" s="61">
        <f>_xlfn.Floor.Math((G10+G11+G12)/3, 0.5, 1)</f>
        <v>1</v>
      </c>
      <c r="N62" s="61">
        <v>3.0</v>
      </c>
      <c r="O62" s="61">
        <f>_xlfn.Floor.Math((G11+G12+G13)/3, 0.5, 1)</f>
        <v>0</v>
      </c>
      <c r="P62" s="61">
        <v>3.0</v>
      </c>
      <c r="Q62" s="61">
        <f>_xlfn.Floor.Math((G12+G13+G14)/3, 0.5, 1)</f>
        <v>0</v>
      </c>
      <c r="R62" s="61">
        <v>3.0</v>
      </c>
      <c r="S62" s="61">
        <f>_xlfn.Floor.Math((G13+G14+G15)/3, 0.5, 1)</f>
        <v>-1</v>
      </c>
      <c r="T62" s="61">
        <v>3.0</v>
      </c>
      <c r="U62" s="61">
        <f>_xlfn.Floor.Math((G14+G15+G16)/3, 0.5, 1)</f>
        <v>-2</v>
      </c>
      <c r="V62" s="61"/>
      <c r="W62" s="61"/>
      <c r="X62" s="61"/>
      <c r="Y62" s="61"/>
    </row>
    <row r="63" ht="14.25" customHeight="1">
      <c r="B63" s="61">
        <v>4.0</v>
      </c>
      <c r="C63" s="61">
        <f>_xlfn.Floor.Math((G5+G6+G7+G8)/4, 0.5, 1)</f>
        <v>5.5</v>
      </c>
      <c r="D63" s="61">
        <v>4.0</v>
      </c>
      <c r="E63" s="61">
        <f>_xlfn.Floor.Math((G6+G7+G8+G9)/4, 0.5, 1)</f>
        <v>4.5</v>
      </c>
      <c r="F63" s="61">
        <v>4.0</v>
      </c>
      <c r="G63" s="61">
        <f>_xlfn.Floor.Math((G7+G8+G9+G10)/4, 0.5, 1)</f>
        <v>3.5</v>
      </c>
      <c r="H63" s="61">
        <v>4.0</v>
      </c>
      <c r="I63" s="61">
        <f>_xlfn.Floor.Math((G8+G9+G10+G11)/4, 0.5, 1)</f>
        <v>2.5</v>
      </c>
      <c r="J63" s="61">
        <v>4.0</v>
      </c>
      <c r="K63" s="61">
        <f>_xlfn.Floor.Math((G9+G10+G11+G12)/4, 0.5, 1)</f>
        <v>1.5</v>
      </c>
      <c r="L63" s="61">
        <v>4.0</v>
      </c>
      <c r="M63" s="61">
        <f>_xlfn.Floor.Math((G10+G11+G12+G13)/4, 0.5, 1)</f>
        <v>0.5</v>
      </c>
      <c r="N63" s="61">
        <v>4.0</v>
      </c>
      <c r="O63" s="61">
        <f>_xlfn.Floor.Math((G11+G12+G13+G14)/4, 0.5, 1)</f>
        <v>0</v>
      </c>
      <c r="P63" s="61">
        <v>4.0</v>
      </c>
      <c r="Q63" s="61">
        <f>_xlfn.Floor.Math((G12+G13+G14+G15)/4, 0.5, 1)</f>
        <v>-0.5</v>
      </c>
      <c r="R63" s="61">
        <v>4.0</v>
      </c>
      <c r="S63" s="61">
        <f>_xlfn.Floor.Math((G13+G14+G15+G16)/4, 0.5, 1)</f>
        <v>-1.5</v>
      </c>
      <c r="T63" s="61"/>
      <c r="U63" s="61"/>
      <c r="V63" s="61"/>
      <c r="W63" s="61"/>
      <c r="X63" s="61"/>
      <c r="Y63" s="61"/>
    </row>
    <row r="64" ht="14.25" customHeight="1">
      <c r="B64" s="61">
        <v>5.0</v>
      </c>
      <c r="C64" s="61">
        <f>_xlfn.Floor.Math((G5+G6+G7+G8+G9)/5, 0.5, 1)</f>
        <v>5</v>
      </c>
      <c r="D64" s="61">
        <v>5.0</v>
      </c>
      <c r="E64" s="61">
        <f>_xlfn.Floor.Math((G6+G7+G8+G9+G10)/5, 0.5, 1)</f>
        <v>4</v>
      </c>
      <c r="F64" s="61">
        <v>5.0</v>
      </c>
      <c r="G64" s="61">
        <f>_xlfn.Floor.Math((G7+G8+G9+G10+G11)/5, 0.5, 1)</f>
        <v>3</v>
      </c>
      <c r="H64" s="61">
        <v>5.0</v>
      </c>
      <c r="I64" s="61">
        <f>_xlfn.Floor.Math((G8+G9+G10+G11+I11)/5, 0.5, 1)</f>
        <v>2</v>
      </c>
      <c r="J64" s="61">
        <v>5.0</v>
      </c>
      <c r="K64" s="61">
        <f>_xlfn.Floor.Math((G9+G10+G11+G12+G13)/5, 0.5, 1)</f>
        <v>1</v>
      </c>
      <c r="L64" s="61">
        <v>5.0</v>
      </c>
      <c r="M64" s="61">
        <f>_xlfn.Floor.Math((G10+G11+G12+G13+G14)/5, 0.5, 1)</f>
        <v>0</v>
      </c>
      <c r="N64" s="61">
        <v>5.0</v>
      </c>
      <c r="O64" s="61">
        <f>_xlfn.Floor.Math((G11+G12+G13+G14+G15)/5, 0.5, 1)</f>
        <v>0</v>
      </c>
      <c r="P64" s="61">
        <v>5.0</v>
      </c>
      <c r="Q64" s="61">
        <f>_xlfn.Floor.Math((G12+G13+G14+G15+G16)/5, 0.5, 1)</f>
        <v>-1</v>
      </c>
      <c r="R64" s="61"/>
      <c r="S64" s="61"/>
      <c r="T64" s="61"/>
      <c r="U64" s="61"/>
      <c r="V64" s="61"/>
      <c r="W64" s="61"/>
      <c r="X64" s="61"/>
      <c r="Y64" s="61"/>
    </row>
    <row r="65" ht="14.25" customHeight="1">
      <c r="B65" s="61">
        <v>6.0</v>
      </c>
      <c r="C65" s="61">
        <f>_xlfn.Floor.Math((G5+G6+G7+G8+G9+G10)/6, 0.5, 1)</f>
        <v>4.5</v>
      </c>
      <c r="D65" s="61">
        <v>6.0</v>
      </c>
      <c r="E65" s="61">
        <f>_xlfn.Floor.Math((G6+G7+G8+G9+G10+G11)/6, 0.5, 1)</f>
        <v>3.5</v>
      </c>
      <c r="F65" s="61">
        <v>6.0</v>
      </c>
      <c r="G65" s="61">
        <f>_xlfn.Floor.Math((G7+G8+G9+G10+G11+G12)/6, 0.5, 1)</f>
        <v>2.5</v>
      </c>
      <c r="H65" s="61">
        <v>6.0</v>
      </c>
      <c r="I65" s="61">
        <f>_xlfn.Floor.Math((G8+G9+G10+G11+I11+G13)/6, 0.5, 1)</f>
        <v>1.5</v>
      </c>
      <c r="J65" s="61">
        <v>6.0</v>
      </c>
      <c r="K65" s="61">
        <f>_xlfn.Floor.Math((G9+G10+G11+G12+G13+G14)/6, 0.5, 1)</f>
        <v>0.5</v>
      </c>
      <c r="L65" s="61">
        <v>6.0</v>
      </c>
      <c r="M65" s="61">
        <f>_xlfn.Floor.Math((G10+G11+G12+G13+G14+G15)/6, 0.5, 1)</f>
        <v>0</v>
      </c>
      <c r="N65" s="61">
        <v>6.0</v>
      </c>
      <c r="O65" s="61">
        <f>_xlfn.Floor.Math((G11+G12+G13+G14+G15+G16)/6, 0.5, 1)</f>
        <v>-0.5</v>
      </c>
      <c r="P65" s="61"/>
      <c r="Q65" s="61"/>
      <c r="S65" s="61"/>
      <c r="U65" s="61"/>
      <c r="W65" s="61"/>
      <c r="Y65" s="61"/>
    </row>
    <row r="66" ht="14.25" customHeight="1">
      <c r="B66" s="61">
        <v>7.0</v>
      </c>
      <c r="C66" s="61">
        <f>_xlfn.Floor.Math((G5+G6+G7+G8+G9+G10+G11)/7,0.5, 1)</f>
        <v>4</v>
      </c>
      <c r="D66" s="61">
        <v>7.0</v>
      </c>
      <c r="E66" s="61">
        <f>_xlfn.Floor.Math((G6+G7+G8+G9+G10+G11+G12)/7,0.5, 1)</f>
        <v>3</v>
      </c>
      <c r="F66" s="61">
        <v>7.0</v>
      </c>
      <c r="G66" s="61">
        <f>_xlfn.Floor.Math((G7+G8+G9+G10+G11+G12+G13)/7,0.5, 1)</f>
        <v>2</v>
      </c>
      <c r="H66" s="61">
        <v>7.0</v>
      </c>
      <c r="I66" s="61">
        <f>_xlfn.Floor.Math((G8+G9+G10+G11+I11+G13+G14)/7,0.5, 1)</f>
        <v>1</v>
      </c>
      <c r="J66" s="61">
        <v>7.0</v>
      </c>
      <c r="K66" s="61">
        <f>_xlfn.Floor.Math((G9+G10+G11+G12+G13+G14+G15)/7,0.5, 1)</f>
        <v>0</v>
      </c>
      <c r="L66" s="61">
        <v>7.0</v>
      </c>
      <c r="M66" s="61">
        <f>_xlfn.Floor.Math((G10+G11+G12+G13+G14+G15+G16)/7,0.5, 1)</f>
        <v>0</v>
      </c>
      <c r="N66" s="61"/>
      <c r="O66" s="61"/>
      <c r="P66" s="61"/>
      <c r="Q66" s="61"/>
      <c r="S66" s="61"/>
      <c r="U66" s="61"/>
      <c r="W66" s="61"/>
      <c r="Y66" s="61"/>
    </row>
    <row r="67" ht="14.25" customHeight="1">
      <c r="B67" s="61">
        <v>8.0</v>
      </c>
      <c r="C67" s="61">
        <f>_xlfn.Floor.Math((G5+G6+G7+G8+G9+G10+G11+G12)/8, 0.5, 1)</f>
        <v>3.5</v>
      </c>
      <c r="D67" s="61">
        <v>8.0</v>
      </c>
      <c r="E67" s="61">
        <f>_xlfn.Floor.Math((G6+G7+G8+G9+G10+G11+G12+G13)/8, 0.5, 1)</f>
        <v>2.5</v>
      </c>
      <c r="F67" s="61">
        <v>8.0</v>
      </c>
      <c r="G67" s="61">
        <f>_xlfn.Floor.Math((G7+G8+G9+G10+G11+G12+G13+G14)/8, 0.5, 1)</f>
        <v>1.5</v>
      </c>
      <c r="H67" s="61">
        <v>8.0</v>
      </c>
      <c r="I67" s="61">
        <f>_xlfn.Floor.Math((G8+G9+G10+G11+I11+G13+G14+G15)/8, 0.5, 1)</f>
        <v>0.5</v>
      </c>
      <c r="J67" s="61">
        <v>8.0</v>
      </c>
      <c r="K67" s="61">
        <f>_xlfn.Floor.Math((G9+G10+G11+G12+G13+G14+G15+G16)/8, 0.5, 1)</f>
        <v>0</v>
      </c>
      <c r="L67" s="61"/>
      <c r="M67" s="61"/>
      <c r="N67" s="61"/>
      <c r="O67" s="61"/>
      <c r="P67" s="61"/>
      <c r="Q67" s="61"/>
      <c r="S67" s="61"/>
      <c r="U67" s="61"/>
      <c r="W67" s="61"/>
      <c r="Y67" s="61"/>
    </row>
    <row r="68" ht="14.25" customHeight="1">
      <c r="B68" s="61">
        <v>9.0</v>
      </c>
      <c r="C68" s="61">
        <f>_xlfn.Floor.Math((G5+G6+G7+G8+G9+G10+G11+G12+G13)/9, 0.5, 1)</f>
        <v>3</v>
      </c>
      <c r="D68" s="61">
        <v>9.0</v>
      </c>
      <c r="E68" s="61">
        <f>_xlfn.Floor.Math((G6+G7+G8+G9+G10+G11+G12+G13+G14)/9, 0.5, 1)</f>
        <v>2</v>
      </c>
      <c r="F68" s="61">
        <v>9.0</v>
      </c>
      <c r="G68" s="61">
        <f>_xlfn.Floor.Math((G7+G8+G9+G10+G11+G12+G13+G14+G15)/9, 0.5, 1)</f>
        <v>1</v>
      </c>
      <c r="H68" s="61">
        <v>9.0</v>
      </c>
      <c r="I68" s="61">
        <f>_xlfn.Floor.Math((G8+G9+G10+G11+I11+G13+G14+G15+G16)/9, 0.5, 1)</f>
        <v>0</v>
      </c>
      <c r="J68" s="61"/>
      <c r="K68" s="61"/>
      <c r="L68" s="61"/>
      <c r="M68" s="61"/>
      <c r="N68" s="61"/>
      <c r="O68" s="61"/>
      <c r="P68" s="61"/>
      <c r="Q68" s="61"/>
      <c r="S68" s="61"/>
      <c r="U68" s="61"/>
      <c r="W68" s="61"/>
      <c r="Y68" s="61"/>
    </row>
    <row r="69" ht="14.25" customHeight="1">
      <c r="B69" s="61">
        <v>10.0</v>
      </c>
      <c r="C69" s="61">
        <f>_xlfn.Floor.Math((G5+G6+G7+G8+G9+G10+G11+G12+G13+G14)/10, 0.5, 1)</f>
        <v>2.5</v>
      </c>
      <c r="D69" s="61">
        <v>10.0</v>
      </c>
      <c r="E69" s="61">
        <f>_xlfn.Floor.Math((G6+G7+G8+G9+G10+G11+G12+G13+G14+G15)/10, 0.5, 1)</f>
        <v>1.5</v>
      </c>
      <c r="F69" s="61">
        <v>10.0</v>
      </c>
      <c r="G69" s="61">
        <f>_xlfn.Floor.Math((G7+G8+G9+G10+G11+G12+G13+G14+G15+G16)/10, 0.5, 1)</f>
        <v>0.5</v>
      </c>
      <c r="H69" s="61"/>
      <c r="I69" s="61"/>
      <c r="J69" s="61"/>
      <c r="K69" s="61"/>
      <c r="L69" s="61"/>
      <c r="M69" s="61"/>
      <c r="N69" s="61"/>
      <c r="O69" s="61"/>
      <c r="P69" s="61"/>
      <c r="Q69" s="61"/>
      <c r="S69" s="61"/>
      <c r="U69" s="61"/>
      <c r="W69" s="61"/>
      <c r="Y69" s="61"/>
    </row>
    <row r="70" ht="14.25" customHeight="1">
      <c r="B70" s="61">
        <v>11.0</v>
      </c>
      <c r="C70" s="61">
        <f>_xlfn.Floor.Math((G5+G6+G7+G8+G9+G10+G11+G12+G13+G14+G15)/11, 0.5, 1)</f>
        <v>2</v>
      </c>
      <c r="D70" s="61">
        <v>11.0</v>
      </c>
      <c r="E70" s="61">
        <f>_xlfn.Floor.Math((G6+G7+G8+G9+G10+G11+G12+G13+G14+G15+G16)/11, 0.5, 1)</f>
        <v>1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S70" s="61"/>
      <c r="U70" s="61"/>
      <c r="W70" s="61"/>
      <c r="Y70" s="61"/>
    </row>
    <row r="71" ht="14.25" customHeight="1">
      <c r="B71" s="61">
        <v>12.0</v>
      </c>
      <c r="C71" s="61">
        <f>_xlfn.Floor.Math((G5+G6+G7+G8+G9+G10+G11+G12+G13+G14+G15+G16)/12, 0.5, 1)</f>
        <v>1.5</v>
      </c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S71" s="61"/>
      <c r="U71" s="61"/>
      <c r="W71" s="61"/>
      <c r="Y71" s="61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26">
    <mergeCell ref="F33:G33"/>
    <mergeCell ref="H33:I33"/>
    <mergeCell ref="L33:M33"/>
    <mergeCell ref="N33:O33"/>
    <mergeCell ref="P33:Q33"/>
    <mergeCell ref="B3:D3"/>
    <mergeCell ref="F3:G3"/>
    <mergeCell ref="J3:K3"/>
    <mergeCell ref="B18:C18"/>
    <mergeCell ref="B23:C23"/>
    <mergeCell ref="D33:E33"/>
    <mergeCell ref="J33:K33"/>
    <mergeCell ref="L58:M58"/>
    <mergeCell ref="N58:O58"/>
    <mergeCell ref="P58:Q58"/>
    <mergeCell ref="R58:S58"/>
    <mergeCell ref="T58:U58"/>
    <mergeCell ref="V58:W58"/>
    <mergeCell ref="X58:Y58"/>
    <mergeCell ref="B33:C33"/>
    <mergeCell ref="B44:C44"/>
    <mergeCell ref="B58:C58"/>
    <mergeCell ref="D58:E58"/>
    <mergeCell ref="F58:G58"/>
    <mergeCell ref="H58:I58"/>
    <mergeCell ref="J58:K58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6" max="6" width="27.63"/>
  </cols>
  <sheetData>
    <row r="1">
      <c r="A1" s="73" t="str">
        <f>IFERROR(__xludf.DUMMYFUNCTION("importhtml(""https://www.scrolf.com/mobile/LeaderboardMatchPlay.aspx?EventID=50715"", ""table"", 4)"),"Card")</f>
        <v>Card</v>
      </c>
      <c r="B1" s="73" t="str">
        <f>IFERROR(__xludf.DUMMYFUNCTION("""COMPUTED_VALUE"""),"A")</f>
        <v>A</v>
      </c>
      <c r="C1" s="73" t="str">
        <f>IFERROR(__xludf.DUMMYFUNCTION("""COMPUTED_VALUE"""),"B")</f>
        <v>B</v>
      </c>
      <c r="D1" s="73" t="str">
        <f>IFERROR(__xludf.DUMMYFUNCTION("""COMPUTED_VALUE"""),"Thru")</f>
        <v>Thru</v>
      </c>
      <c r="E1" s="73" t="str">
        <f>IFERROR(__xludf.DUMMYFUNCTION("""COMPUTED_VALUE"""),"Score")</f>
        <v>Score</v>
      </c>
      <c r="H1" s="66"/>
      <c r="I1" s="84"/>
      <c r="J1" s="61"/>
      <c r="K1" s="84"/>
    </row>
    <row r="2">
      <c r="A2" s="73" t="str">
        <f>IFERROR(__xludf.DUMMYFUNCTION("""COMPUTED_VALUE"""),"card")</f>
        <v>card</v>
      </c>
      <c r="B2" s="73" t="str">
        <f>IFERROR(__xludf.DUMMYFUNCTION("""COMPUTED_VALUE"""),"Adam (W)")</f>
        <v>Adam (W)</v>
      </c>
      <c r="C2" s="73" t="str">
        <f>IFERROR(__xludf.DUMMYFUNCTION("""COMPUTED_VALUE"""),"Joe (B)")</f>
        <v>Joe (B)</v>
      </c>
      <c r="D2" s="73">
        <f>IFERROR(__xludf.DUMMYFUNCTION("""COMPUTED_VALUE"""),0.0)</f>
        <v>0</v>
      </c>
      <c r="E2" s="73"/>
      <c r="G2" s="66"/>
      <c r="H2" s="66"/>
      <c r="I2" s="84"/>
      <c r="J2" s="61"/>
      <c r="K2" s="84"/>
      <c r="N2" s="66"/>
    </row>
    <row r="3">
      <c r="A3" s="73" t="str">
        <f>IFERROR(__xludf.DUMMYFUNCTION("""COMPUTED_VALUE"""),"card")</f>
        <v>card</v>
      </c>
      <c r="B3" s="73" t="str">
        <f>IFERROR(__xludf.DUMMYFUNCTION("""COMPUTED_VALUE"""),"Andrew (A)")</f>
        <v>Andrew (A)</v>
      </c>
      <c r="C3" s="73" t="str">
        <f>IFERROR(__xludf.DUMMYFUNCTION("""COMPUTED_VALUE"""),"Mikey (B)")</f>
        <v>Mikey (B)</v>
      </c>
      <c r="D3" s="73">
        <f>IFERROR(__xludf.DUMMYFUNCTION("""COMPUTED_VALUE"""),0.0)</f>
        <v>0</v>
      </c>
      <c r="E3" s="73"/>
      <c r="G3" s="66"/>
      <c r="H3" s="66"/>
      <c r="I3" s="84"/>
      <c r="J3" s="77"/>
      <c r="K3" s="84"/>
      <c r="N3" s="66"/>
    </row>
    <row r="4">
      <c r="A4" s="73" t="str">
        <f>IFERROR(__xludf.DUMMYFUNCTION("""COMPUTED_VALUE"""),"card")</f>
        <v>card</v>
      </c>
      <c r="B4" s="73" t="str">
        <f>IFERROR(__xludf.DUMMYFUNCTION("""COMPUTED_VALUE"""),"Beeler (R)")</f>
        <v>Beeler (R)</v>
      </c>
      <c r="C4" s="73" t="str">
        <f>IFERROR(__xludf.DUMMYFUNCTION("""COMPUTED_VALUE"""),"Neil (A)")</f>
        <v>Neil (A)</v>
      </c>
      <c r="D4" s="73">
        <f>IFERROR(__xludf.DUMMYFUNCTION("""COMPUTED_VALUE"""),0.0)</f>
        <v>0</v>
      </c>
      <c r="E4" s="73"/>
      <c r="G4" s="66"/>
      <c r="H4" s="66"/>
      <c r="I4" s="84"/>
      <c r="J4" s="77"/>
      <c r="K4" s="84"/>
      <c r="N4" s="66"/>
    </row>
    <row r="5">
      <c r="A5" s="73" t="str">
        <f>IFERROR(__xludf.DUMMYFUNCTION("""COMPUTED_VALUE"""),"card")</f>
        <v>card</v>
      </c>
      <c r="B5" s="73" t="str">
        <f>IFERROR(__xludf.DUMMYFUNCTION("""COMPUTED_VALUE"""),"Chad (W)")</f>
        <v>Chad (W)</v>
      </c>
      <c r="C5" s="73" t="str">
        <f>IFERROR(__xludf.DUMMYFUNCTION("""COMPUTED_VALUE"""),"Paul (A)")</f>
        <v>Paul (A)</v>
      </c>
      <c r="D5" s="73">
        <f>IFERROR(__xludf.DUMMYFUNCTION("""COMPUTED_VALUE"""),0.0)</f>
        <v>0</v>
      </c>
      <c r="E5" s="73"/>
      <c r="G5" s="66"/>
      <c r="H5" s="66"/>
      <c r="I5" s="84"/>
      <c r="J5" s="77"/>
      <c r="K5" s="84"/>
      <c r="N5" s="66"/>
    </row>
    <row r="6">
      <c r="A6" s="73" t="str">
        <f>IFERROR(__xludf.DUMMYFUNCTION("""COMPUTED_VALUE"""),"card")</f>
        <v>card</v>
      </c>
      <c r="B6" s="73" t="str">
        <f>IFERROR(__xludf.DUMMYFUNCTION("""COMPUTED_VALUE"""),"Dave (W)")</f>
        <v>Dave (W)</v>
      </c>
      <c r="C6" s="73" t="str">
        <f>IFERROR(__xludf.DUMMYFUNCTION("""COMPUTED_VALUE"""),"Matt (B)")</f>
        <v>Matt (B)</v>
      </c>
      <c r="D6" s="73">
        <f>IFERROR(__xludf.DUMMYFUNCTION("""COMPUTED_VALUE"""),0.0)</f>
        <v>0</v>
      </c>
      <c r="E6" s="73"/>
      <c r="G6" s="66"/>
      <c r="H6" s="66"/>
      <c r="I6" s="84"/>
      <c r="J6" s="77"/>
      <c r="K6" s="84"/>
      <c r="N6" s="66"/>
    </row>
    <row r="7">
      <c r="A7" s="73" t="str">
        <f>IFERROR(__xludf.DUMMYFUNCTION("""COMPUTED_VALUE"""),"card")</f>
        <v>card</v>
      </c>
      <c r="B7" s="73" t="str">
        <f>IFERROR(__xludf.DUMMYFUNCTION("""COMPUTED_VALUE"""),"Dutch (W)")</f>
        <v>Dutch (W)</v>
      </c>
      <c r="C7" s="73" t="str">
        <f>IFERROR(__xludf.DUMMYFUNCTION("""COMPUTED_VALUE"""),"Ryan (R)")</f>
        <v>Ryan (R)</v>
      </c>
      <c r="D7" s="73">
        <f>IFERROR(__xludf.DUMMYFUNCTION("""COMPUTED_VALUE"""),0.0)</f>
        <v>0</v>
      </c>
      <c r="E7" s="73"/>
      <c r="G7" s="66"/>
      <c r="H7" s="66"/>
      <c r="I7" s="84"/>
      <c r="J7" s="77"/>
      <c r="K7" s="84"/>
      <c r="N7" s="66"/>
    </row>
    <row r="8">
      <c r="A8" s="73" t="str">
        <f>IFERROR(__xludf.DUMMYFUNCTION("""COMPUTED_VALUE"""),"card")</f>
        <v>card</v>
      </c>
      <c r="B8" s="73" t="str">
        <f>IFERROR(__xludf.DUMMYFUNCTION("""COMPUTED_VALUE"""),"Kelly (B)")</f>
        <v>Kelly (B)</v>
      </c>
      <c r="C8" s="73" t="str">
        <f>IFERROR(__xludf.DUMMYFUNCTION("""COMPUTED_VALUE"""),"Riley (R)")</f>
        <v>Riley (R)</v>
      </c>
      <c r="D8" s="73">
        <f>IFERROR(__xludf.DUMMYFUNCTION("""COMPUTED_VALUE"""),0.0)</f>
        <v>0</v>
      </c>
      <c r="E8" s="73"/>
      <c r="G8" s="66"/>
      <c r="H8" s="66"/>
      <c r="I8" s="84"/>
      <c r="J8" s="77"/>
      <c r="K8" s="84"/>
      <c r="N8" s="66"/>
    </row>
    <row r="9">
      <c r="A9" s="73" t="str">
        <f>IFERROR(__xludf.DUMMYFUNCTION("""COMPUTED_VALUE"""),"card")</f>
        <v>card</v>
      </c>
      <c r="B9" s="73" t="str">
        <f>IFERROR(__xludf.DUMMYFUNCTION("""COMPUTED_VALUE"""),"Marcus (W)")</f>
        <v>Marcus (W)</v>
      </c>
      <c r="C9" s="73" t="str">
        <f>IFERROR(__xludf.DUMMYFUNCTION("""COMPUTED_VALUE"""),"Powell (R)")</f>
        <v>Powell (R)</v>
      </c>
      <c r="D9" s="73">
        <f>IFERROR(__xludf.DUMMYFUNCTION("""COMPUTED_VALUE"""),0.0)</f>
        <v>0</v>
      </c>
      <c r="E9" s="73"/>
      <c r="G9" s="66"/>
      <c r="H9" s="66"/>
      <c r="I9" s="84"/>
      <c r="J9" s="77"/>
      <c r="K9" s="84"/>
      <c r="N9" s="66"/>
    </row>
    <row r="10">
      <c r="A10" s="73" t="str">
        <f>IFERROR(__xludf.DUMMYFUNCTION("""COMPUTED_VALUE"""),"card")</f>
        <v>card</v>
      </c>
      <c r="B10" s="73" t="str">
        <f>IFERROR(__xludf.DUMMYFUNCTION("""COMPUTED_VALUE"""),"Rob (W)")</f>
        <v>Rob (W)</v>
      </c>
      <c r="C10" s="73" t="str">
        <f>IFERROR(__xludf.DUMMYFUNCTION("""COMPUTED_VALUE"""),"Mitch (A)")</f>
        <v>Mitch (A)</v>
      </c>
      <c r="D10" s="73">
        <f>IFERROR(__xludf.DUMMYFUNCTION("""COMPUTED_VALUE"""),0.0)</f>
        <v>0</v>
      </c>
      <c r="E10" s="73"/>
      <c r="G10" s="66"/>
      <c r="H10" s="66"/>
      <c r="I10" s="84"/>
      <c r="J10" s="77"/>
      <c r="K10" s="84"/>
      <c r="N10" s="66"/>
    </row>
    <row r="11">
      <c r="A11" s="73" t="str">
        <f>IFERROR(__xludf.DUMMYFUNCTION("""COMPUTED_VALUE"""),"card")</f>
        <v>card</v>
      </c>
      <c r="B11" s="73" t="str">
        <f>IFERROR(__xludf.DUMMYFUNCTION("""COMPUTED_VALUE"""),"Rocky (A)")</f>
        <v>Rocky (A)</v>
      </c>
      <c r="C11" s="73" t="str">
        <f>IFERROR(__xludf.DUMMYFUNCTION("""COMPUTED_VALUE"""),"Miller (B)")</f>
        <v>Miller (B)</v>
      </c>
      <c r="D11" s="73">
        <f>IFERROR(__xludf.DUMMYFUNCTION("""COMPUTED_VALUE"""),0.0)</f>
        <v>0</v>
      </c>
      <c r="E11" s="73"/>
      <c r="G11" s="66"/>
      <c r="H11" s="66"/>
      <c r="I11" s="84"/>
      <c r="J11" s="77"/>
      <c r="K11" s="84"/>
      <c r="N11" s="66"/>
    </row>
    <row r="12">
      <c r="A12" s="73" t="str">
        <f>IFERROR(__xludf.DUMMYFUNCTION("""COMPUTED_VALUE"""),"card")</f>
        <v>card</v>
      </c>
      <c r="B12" s="73" t="str">
        <f>IFERROR(__xludf.DUMMYFUNCTION("""COMPUTED_VALUE"""),"Tyler (R)")</f>
        <v>Tyler (R)</v>
      </c>
      <c r="C12" s="73" t="str">
        <f>IFERROR(__xludf.DUMMYFUNCTION("""COMPUTED_VALUE"""),"Andy (A)")</f>
        <v>Andy (A)</v>
      </c>
      <c r="D12" s="73">
        <f>IFERROR(__xludf.DUMMYFUNCTION("""COMPUTED_VALUE"""),0.0)</f>
        <v>0</v>
      </c>
      <c r="E12" s="73"/>
      <c r="G12" s="66"/>
      <c r="H12" s="66"/>
      <c r="I12" s="84"/>
      <c r="J12" s="77"/>
      <c r="K12" s="84"/>
      <c r="N12" s="66"/>
    </row>
    <row r="13">
      <c r="A13" s="66" t="str">
        <f>IFERROR(__xludf.DUMMYFUNCTION("""COMPUTED_VALUE"""),"card")</f>
        <v>card</v>
      </c>
      <c r="B13" s="66" t="str">
        <f>IFERROR(__xludf.DUMMYFUNCTION("""COMPUTED_VALUE"""),"Will (B)")</f>
        <v>Will (B)</v>
      </c>
      <c r="C13" s="205" t="str">
        <f>IFERROR(__xludf.DUMMYFUNCTION("""COMPUTED_VALUE"""),"Troy (R)")</f>
        <v>Troy (R)</v>
      </c>
      <c r="D13" s="84">
        <f>IFERROR(__xludf.DUMMYFUNCTION("""COMPUTED_VALUE"""),0.0)</f>
        <v>0</v>
      </c>
      <c r="E13" s="73"/>
      <c r="G13" s="66"/>
      <c r="H13" s="66"/>
      <c r="I13" s="66"/>
      <c r="J13" s="77"/>
      <c r="K13" s="84"/>
      <c r="N13" s="66"/>
    </row>
    <row r="14">
      <c r="C14" s="205"/>
      <c r="J14" s="7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8" max="8" width="38.25"/>
  </cols>
  <sheetData>
    <row r="1">
      <c r="A1" s="73" t="str">
        <f>IFERROR(__xludf.DUMMYFUNCTION("importhtml(""https://www.scrolf.com/mobile/LeaderboardMatchPlay.aspx?EventID=50716&amp;AdID=1&amp;leaderboard=39&amp;showlb="", ""table"", 4)"),"Card")</f>
        <v>Card</v>
      </c>
      <c r="B1" s="73" t="str">
        <f>IFERROR(__xludf.DUMMYFUNCTION("""COMPUTED_VALUE"""),"A")</f>
        <v>A</v>
      </c>
      <c r="C1" s="73" t="str">
        <f>IFERROR(__xludf.DUMMYFUNCTION("""COMPUTED_VALUE"""),"B")</f>
        <v>B</v>
      </c>
      <c r="D1" s="73" t="str">
        <f>IFERROR(__xludf.DUMMYFUNCTION("""COMPUTED_VALUE"""),"Thru")</f>
        <v>Thru</v>
      </c>
      <c r="E1" s="73" t="str">
        <f>IFERROR(__xludf.DUMMYFUNCTION("""COMPUTED_VALUE"""),"Score")</f>
        <v>Score</v>
      </c>
    </row>
    <row r="2">
      <c r="A2" s="73" t="str">
        <f>IFERROR(__xludf.DUMMYFUNCTION("""COMPUTED_VALUE"""),"card")</f>
        <v>card</v>
      </c>
      <c r="B2" s="73" t="str">
        <f>IFERROR(__xludf.DUMMYFUNCTION("""COMPUTED_VALUE"""),"Adam (W)")</f>
        <v>Adam (W)</v>
      </c>
      <c r="C2" s="73" t="str">
        <f>IFERROR(__xludf.DUMMYFUNCTION("""COMPUTED_VALUE"""),"Andy (A)")</f>
        <v>Andy (A)</v>
      </c>
      <c r="D2" s="73">
        <f>IFERROR(__xludf.DUMMYFUNCTION("""COMPUTED_VALUE"""),0.0)</f>
        <v>0</v>
      </c>
      <c r="E2" s="73"/>
      <c r="G2" s="66"/>
      <c r="H2" s="84"/>
      <c r="I2" s="61"/>
      <c r="J2" s="84"/>
    </row>
    <row r="3">
      <c r="A3" s="73" t="str">
        <f>IFERROR(__xludf.DUMMYFUNCTION("""COMPUTED_VALUE"""),"card")</f>
        <v>card</v>
      </c>
      <c r="B3" s="73" t="str">
        <f>IFERROR(__xludf.DUMMYFUNCTION("""COMPUTED_VALUE"""),"Chad (W)")</f>
        <v>Chad (W)</v>
      </c>
      <c r="C3" s="73" t="str">
        <f>IFERROR(__xludf.DUMMYFUNCTION("""COMPUTED_VALUE"""),"Riley (R)")</f>
        <v>Riley (R)</v>
      </c>
      <c r="D3" s="73">
        <f>IFERROR(__xludf.DUMMYFUNCTION("""COMPUTED_VALUE"""),0.0)</f>
        <v>0</v>
      </c>
      <c r="E3" s="73"/>
      <c r="G3" s="66"/>
      <c r="H3" s="84"/>
      <c r="I3" s="61"/>
      <c r="J3" s="84"/>
    </row>
    <row r="4">
      <c r="A4" s="73" t="str">
        <f>IFERROR(__xludf.DUMMYFUNCTION("""COMPUTED_VALUE"""),"card")</f>
        <v>card</v>
      </c>
      <c r="B4" s="73" t="str">
        <f>IFERROR(__xludf.DUMMYFUNCTION("""COMPUTED_VALUE"""),"Dave (W)")</f>
        <v>Dave (W)</v>
      </c>
      <c r="C4" s="73" t="str">
        <f>IFERROR(__xludf.DUMMYFUNCTION("""COMPUTED_VALUE"""),"Neil (A)")</f>
        <v>Neil (A)</v>
      </c>
      <c r="D4" s="73">
        <f>IFERROR(__xludf.DUMMYFUNCTION("""COMPUTED_VALUE"""),0.0)</f>
        <v>0</v>
      </c>
      <c r="E4" s="73"/>
      <c r="G4" s="66"/>
      <c r="H4" s="206"/>
      <c r="I4" s="61"/>
      <c r="J4" s="84"/>
    </row>
    <row r="5">
      <c r="A5" s="73" t="str">
        <f>IFERROR(__xludf.DUMMYFUNCTION("""COMPUTED_VALUE"""),"card")</f>
        <v>card</v>
      </c>
      <c r="B5" s="73" t="str">
        <f>IFERROR(__xludf.DUMMYFUNCTION("""COMPUTED_VALUE"""),"Dutch (W)")</f>
        <v>Dutch (W)</v>
      </c>
      <c r="C5" s="73" t="str">
        <f>IFERROR(__xludf.DUMMYFUNCTION("""COMPUTED_VALUE"""),"Miller (B)")</f>
        <v>Miller (B)</v>
      </c>
      <c r="D5" s="73">
        <f>IFERROR(__xludf.DUMMYFUNCTION("""COMPUTED_VALUE"""),0.0)</f>
        <v>0</v>
      </c>
      <c r="E5" s="73"/>
      <c r="G5" s="66"/>
      <c r="H5" s="206"/>
      <c r="I5" s="61"/>
      <c r="J5" s="84"/>
    </row>
    <row r="6">
      <c r="A6" s="73" t="str">
        <f>IFERROR(__xludf.DUMMYFUNCTION("""COMPUTED_VALUE"""),"card")</f>
        <v>card</v>
      </c>
      <c r="B6" s="73" t="str">
        <f>IFERROR(__xludf.DUMMYFUNCTION("""COMPUTED_VALUE"""),"Joe (B)")</f>
        <v>Joe (B)</v>
      </c>
      <c r="C6" s="73" t="str">
        <f>IFERROR(__xludf.DUMMYFUNCTION("""COMPUTED_VALUE"""),"Tyler (R)")</f>
        <v>Tyler (R)</v>
      </c>
      <c r="D6" s="73">
        <f>IFERROR(__xludf.DUMMYFUNCTION("""COMPUTED_VALUE"""),0.0)</f>
        <v>0</v>
      </c>
      <c r="E6" s="73"/>
      <c r="G6" s="66"/>
      <c r="H6" s="206"/>
      <c r="I6" s="61"/>
      <c r="J6" s="84"/>
    </row>
    <row r="7">
      <c r="A7" s="73" t="str">
        <f>IFERROR(__xludf.DUMMYFUNCTION("""COMPUTED_VALUE"""),"card")</f>
        <v>card</v>
      </c>
      <c r="B7" s="73" t="str">
        <f>IFERROR(__xludf.DUMMYFUNCTION("""COMPUTED_VALUE"""),"Marcus (W)")</f>
        <v>Marcus (W)</v>
      </c>
      <c r="C7" s="73" t="str">
        <f>IFERROR(__xludf.DUMMYFUNCTION("""COMPUTED_VALUE"""),"Mikey (B)")</f>
        <v>Mikey (B)</v>
      </c>
      <c r="D7" s="73">
        <f>IFERROR(__xludf.DUMMYFUNCTION("""COMPUTED_VALUE"""),0.0)</f>
        <v>0</v>
      </c>
      <c r="E7" s="73"/>
      <c r="G7" s="66"/>
      <c r="H7" s="206"/>
      <c r="I7" s="61"/>
      <c r="J7" s="84"/>
    </row>
    <row r="8">
      <c r="A8" s="73" t="str">
        <f>IFERROR(__xludf.DUMMYFUNCTION("""COMPUTED_VALUE"""),"card")</f>
        <v>card</v>
      </c>
      <c r="B8" s="73" t="str">
        <f>IFERROR(__xludf.DUMMYFUNCTION("""COMPUTED_VALUE"""),"Matt (B)")</f>
        <v>Matt (B)</v>
      </c>
      <c r="C8" s="73" t="str">
        <f>IFERROR(__xludf.DUMMYFUNCTION("""COMPUTED_VALUE"""),"Beeler (R)")</f>
        <v>Beeler (R)</v>
      </c>
      <c r="D8" s="73">
        <f>IFERROR(__xludf.DUMMYFUNCTION("""COMPUTED_VALUE"""),0.0)</f>
        <v>0</v>
      </c>
      <c r="E8" s="73"/>
      <c r="G8" s="66"/>
      <c r="H8" s="206"/>
      <c r="I8" s="61"/>
      <c r="J8" s="84"/>
    </row>
    <row r="9">
      <c r="A9" s="73" t="str">
        <f>IFERROR(__xludf.DUMMYFUNCTION("""COMPUTED_VALUE"""),"card")</f>
        <v>card</v>
      </c>
      <c r="B9" s="73" t="str">
        <f>IFERROR(__xludf.DUMMYFUNCTION("""COMPUTED_VALUE"""),"Mitch (A)")</f>
        <v>Mitch (A)</v>
      </c>
      <c r="C9" s="73" t="str">
        <f>IFERROR(__xludf.DUMMYFUNCTION("""COMPUTED_VALUE"""),"Will (B)")</f>
        <v>Will (B)</v>
      </c>
      <c r="D9" s="73">
        <f>IFERROR(__xludf.DUMMYFUNCTION("""COMPUTED_VALUE"""),0.0)</f>
        <v>0</v>
      </c>
      <c r="E9" s="73"/>
      <c r="G9" s="66"/>
      <c r="H9" s="206"/>
      <c r="I9" s="61"/>
      <c r="J9" s="84"/>
    </row>
    <row r="10">
      <c r="A10" s="73" t="str">
        <f>IFERROR(__xludf.DUMMYFUNCTION("""COMPUTED_VALUE"""),"card")</f>
        <v>card</v>
      </c>
      <c r="B10" s="73" t="str">
        <f>IFERROR(__xludf.DUMMYFUNCTION("""COMPUTED_VALUE"""),"Paul (A)")</f>
        <v>Paul (A)</v>
      </c>
      <c r="C10" s="73" t="str">
        <f>IFERROR(__xludf.DUMMYFUNCTION("""COMPUTED_VALUE"""),"Kelly (B)")</f>
        <v>Kelly (B)</v>
      </c>
      <c r="D10" s="73">
        <f>IFERROR(__xludf.DUMMYFUNCTION("""COMPUTED_VALUE"""),0.0)</f>
        <v>0</v>
      </c>
      <c r="E10" s="73"/>
      <c r="G10" s="66"/>
      <c r="H10" s="206"/>
      <c r="I10" s="61"/>
      <c r="J10" s="84"/>
    </row>
    <row r="11">
      <c r="A11" s="73" t="str">
        <f>IFERROR(__xludf.DUMMYFUNCTION("""COMPUTED_VALUE"""),"card")</f>
        <v>card</v>
      </c>
      <c r="B11" s="73" t="str">
        <f>IFERROR(__xludf.DUMMYFUNCTION("""COMPUTED_VALUE"""),"Powell (R)")</f>
        <v>Powell (R)</v>
      </c>
      <c r="C11" s="73" t="str">
        <f>IFERROR(__xludf.DUMMYFUNCTION("""COMPUTED_VALUE"""),"Andrew (A)")</f>
        <v>Andrew (A)</v>
      </c>
      <c r="D11" s="73">
        <f>IFERROR(__xludf.DUMMYFUNCTION("""COMPUTED_VALUE"""),0.0)</f>
        <v>0</v>
      </c>
      <c r="E11" s="73"/>
      <c r="G11" s="66"/>
      <c r="H11" s="206"/>
      <c r="I11" s="61"/>
      <c r="J11" s="84"/>
    </row>
    <row r="12">
      <c r="A12" s="73" t="str">
        <f>IFERROR(__xludf.DUMMYFUNCTION("""COMPUTED_VALUE"""),"card")</f>
        <v>card</v>
      </c>
      <c r="B12" s="73" t="str">
        <f>IFERROR(__xludf.DUMMYFUNCTION("""COMPUTED_VALUE"""),"Rob (W)")</f>
        <v>Rob (W)</v>
      </c>
      <c r="C12" s="73" t="str">
        <f>IFERROR(__xludf.DUMMYFUNCTION("""COMPUTED_VALUE"""),"Troy (R)")</f>
        <v>Troy (R)</v>
      </c>
      <c r="D12" s="73">
        <f>IFERROR(__xludf.DUMMYFUNCTION("""COMPUTED_VALUE"""),0.0)</f>
        <v>0</v>
      </c>
      <c r="E12" s="73"/>
      <c r="G12" s="66"/>
      <c r="H12" s="206"/>
      <c r="I12" s="61"/>
      <c r="J12" s="84"/>
    </row>
    <row r="13">
      <c r="A13" s="66" t="str">
        <f>IFERROR(__xludf.DUMMYFUNCTION("""COMPUTED_VALUE"""),"card")</f>
        <v>card</v>
      </c>
      <c r="B13" s="66" t="str">
        <f>IFERROR(__xludf.DUMMYFUNCTION("""COMPUTED_VALUE"""),"Ryan (R)")</f>
        <v>Ryan (R)</v>
      </c>
      <c r="C13" s="73" t="str">
        <f>IFERROR(__xludf.DUMMYFUNCTION("""COMPUTED_VALUE"""),"Rocky (A)")</f>
        <v>Rocky (A)</v>
      </c>
      <c r="D13" s="84">
        <f>IFERROR(__xludf.DUMMYFUNCTION("""COMPUTED_VALUE"""),0.0)</f>
        <v>0</v>
      </c>
      <c r="E13" s="73"/>
      <c r="G13" s="66"/>
      <c r="H13" s="206"/>
      <c r="I13" s="61"/>
      <c r="J13" s="8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</cols>
  <sheetData>
    <row r="1">
      <c r="A1" s="74" t="str">
        <f>IFERROR(__xludf.DUMMYFUNCTION("importhtml(""https://www.scrolf.com/mobile/LeaderboardMatchPlay.aspx?EventID=50717"", ""table"", 4)"),"Card")</f>
        <v>Card</v>
      </c>
      <c r="B1" s="73" t="str">
        <f>IFERROR(__xludf.DUMMYFUNCTION("""COMPUTED_VALUE"""),"A")</f>
        <v>A</v>
      </c>
      <c r="C1" s="73" t="str">
        <f>IFERROR(__xludf.DUMMYFUNCTION("""COMPUTED_VALUE"""),"B")</f>
        <v>B</v>
      </c>
      <c r="D1" s="73" t="str">
        <f>IFERROR(__xludf.DUMMYFUNCTION("""COMPUTED_VALUE"""),"Thru")</f>
        <v>Thru</v>
      </c>
      <c r="E1" s="73" t="str">
        <f>IFERROR(__xludf.DUMMYFUNCTION("""COMPUTED_VALUE"""),"Score")</f>
        <v>Score</v>
      </c>
      <c r="G1" s="66"/>
      <c r="H1" s="84"/>
      <c r="I1" s="61"/>
      <c r="J1" s="84"/>
    </row>
    <row r="2">
      <c r="A2" s="73" t="str">
        <f>IFERROR(__xludf.DUMMYFUNCTION("""COMPUTED_VALUE"""),"card")</f>
        <v>card</v>
      </c>
      <c r="B2" s="73" t="str">
        <f>IFERROR(__xludf.DUMMYFUNCTION("""COMPUTED_VALUE"""),"Adam (W)")</f>
        <v>Adam (W)</v>
      </c>
      <c r="C2" s="73" t="str">
        <f>IFERROR(__xludf.DUMMYFUNCTION("""COMPUTED_VALUE"""),"Tyler (R)")</f>
        <v>Tyler (R)</v>
      </c>
      <c r="D2" s="73">
        <f>IFERROR(__xludf.DUMMYFUNCTION("""COMPUTED_VALUE"""),0.0)</f>
        <v>0</v>
      </c>
      <c r="E2" s="73"/>
      <c r="G2" s="66"/>
      <c r="H2" s="84"/>
      <c r="I2" s="61"/>
      <c r="J2" s="84"/>
    </row>
    <row r="3">
      <c r="A3" s="73" t="str">
        <f>IFERROR(__xludf.DUMMYFUNCTION("""COMPUTED_VALUE"""),"card")</f>
        <v>card</v>
      </c>
      <c r="B3" s="73" t="str">
        <f>IFERROR(__xludf.DUMMYFUNCTION("""COMPUTED_VALUE"""),"Andy (A)")</f>
        <v>Andy (A)</v>
      </c>
      <c r="C3" s="73" t="str">
        <f>IFERROR(__xludf.DUMMYFUNCTION("""COMPUTED_VALUE"""),"Joe (B)")</f>
        <v>Joe (B)</v>
      </c>
      <c r="D3" s="73">
        <f>IFERROR(__xludf.DUMMYFUNCTION("""COMPUTED_VALUE"""),0.0)</f>
        <v>0</v>
      </c>
      <c r="E3" s="73"/>
      <c r="G3" s="66"/>
      <c r="H3" s="84"/>
      <c r="I3" s="61"/>
      <c r="J3" s="84"/>
    </row>
    <row r="4">
      <c r="A4" s="73" t="str">
        <f>IFERROR(__xludf.DUMMYFUNCTION("""COMPUTED_VALUE"""),"card")</f>
        <v>card</v>
      </c>
      <c r="B4" s="73" t="str">
        <f>IFERROR(__xludf.DUMMYFUNCTION("""COMPUTED_VALUE"""),"Chad (W)")</f>
        <v>Chad (W)</v>
      </c>
      <c r="C4" s="73" t="str">
        <f>IFERROR(__xludf.DUMMYFUNCTION("""COMPUTED_VALUE"""),"Kelly (B)")</f>
        <v>Kelly (B)</v>
      </c>
      <c r="D4" s="73">
        <f>IFERROR(__xludf.DUMMYFUNCTION("""COMPUTED_VALUE"""),0.0)</f>
        <v>0</v>
      </c>
      <c r="E4" s="73"/>
      <c r="G4" s="66"/>
      <c r="H4" s="84"/>
      <c r="I4" s="61"/>
      <c r="J4" s="84"/>
    </row>
    <row r="5">
      <c r="A5" s="73" t="str">
        <f>IFERROR(__xludf.DUMMYFUNCTION("""COMPUTED_VALUE"""),"card")</f>
        <v>card</v>
      </c>
      <c r="B5" s="73" t="str">
        <f>IFERROR(__xludf.DUMMYFUNCTION("""COMPUTED_VALUE"""),"Dave (W)")</f>
        <v>Dave (W)</v>
      </c>
      <c r="C5" s="73" t="str">
        <f>IFERROR(__xludf.DUMMYFUNCTION("""COMPUTED_VALUE"""),"Beeler (R)")</f>
        <v>Beeler (R)</v>
      </c>
      <c r="D5" s="73">
        <f>IFERROR(__xludf.DUMMYFUNCTION("""COMPUTED_VALUE"""),0.0)</f>
        <v>0</v>
      </c>
      <c r="E5" s="73"/>
      <c r="G5" s="66"/>
      <c r="H5" s="84"/>
      <c r="I5" s="61"/>
      <c r="J5" s="84"/>
    </row>
    <row r="6">
      <c r="A6" s="73" t="str">
        <f>IFERROR(__xludf.DUMMYFUNCTION("""COMPUTED_VALUE"""),"card")</f>
        <v>card</v>
      </c>
      <c r="B6" s="73" t="str">
        <f>IFERROR(__xludf.DUMMYFUNCTION("""COMPUTED_VALUE"""),"Dutch (W)")</f>
        <v>Dutch (W)</v>
      </c>
      <c r="C6" s="73" t="str">
        <f>IFERROR(__xludf.DUMMYFUNCTION("""COMPUTED_VALUE"""),"Rocky (A)")</f>
        <v>Rocky (A)</v>
      </c>
      <c r="D6" s="73">
        <f>IFERROR(__xludf.DUMMYFUNCTION("""COMPUTED_VALUE"""),0.0)</f>
        <v>0</v>
      </c>
      <c r="E6" s="73"/>
      <c r="G6" s="66"/>
      <c r="H6" s="84"/>
      <c r="I6" s="61"/>
      <c r="J6" s="84"/>
    </row>
    <row r="7">
      <c r="A7" s="73" t="str">
        <f>IFERROR(__xludf.DUMMYFUNCTION("""COMPUTED_VALUE"""),"card")</f>
        <v>card</v>
      </c>
      <c r="B7" s="73" t="str">
        <f>IFERROR(__xludf.DUMMYFUNCTION("""COMPUTED_VALUE"""),"Marcus (W)")</f>
        <v>Marcus (W)</v>
      </c>
      <c r="C7" s="73" t="str">
        <f>IFERROR(__xludf.DUMMYFUNCTION("""COMPUTED_VALUE"""),"Andrew (A)")</f>
        <v>Andrew (A)</v>
      </c>
      <c r="D7" s="73">
        <f>IFERROR(__xludf.DUMMYFUNCTION("""COMPUTED_VALUE"""),0.0)</f>
        <v>0</v>
      </c>
      <c r="E7" s="73"/>
      <c r="G7" s="66"/>
      <c r="H7" s="84"/>
      <c r="I7" s="61"/>
      <c r="J7" s="84"/>
    </row>
    <row r="8">
      <c r="A8" s="73" t="str">
        <f>IFERROR(__xludf.DUMMYFUNCTION("""COMPUTED_VALUE"""),"card")</f>
        <v>card</v>
      </c>
      <c r="B8" s="73" t="str">
        <f>IFERROR(__xludf.DUMMYFUNCTION("""COMPUTED_VALUE"""),"Mikey (B)")</f>
        <v>Mikey (B)</v>
      </c>
      <c r="C8" s="73" t="str">
        <f>IFERROR(__xludf.DUMMYFUNCTION("""COMPUTED_VALUE"""),"Powell (R)")</f>
        <v>Powell (R)</v>
      </c>
      <c r="D8" s="73">
        <f>IFERROR(__xludf.DUMMYFUNCTION("""COMPUTED_VALUE"""),0.0)</f>
        <v>0</v>
      </c>
      <c r="E8" s="73"/>
      <c r="G8" s="66"/>
      <c r="H8" s="84"/>
      <c r="I8" s="61"/>
      <c r="J8" s="84"/>
    </row>
    <row r="9">
      <c r="A9" s="73" t="str">
        <f>IFERROR(__xludf.DUMMYFUNCTION("""COMPUTED_VALUE"""),"card")</f>
        <v>card</v>
      </c>
      <c r="B9" s="73" t="str">
        <f>IFERROR(__xludf.DUMMYFUNCTION("""COMPUTED_VALUE"""),"Miller (B)")</f>
        <v>Miller (B)</v>
      </c>
      <c r="C9" s="73" t="str">
        <f>IFERROR(__xludf.DUMMYFUNCTION("""COMPUTED_VALUE"""),"Ryan (R)")</f>
        <v>Ryan (R)</v>
      </c>
      <c r="D9" s="73">
        <f>IFERROR(__xludf.DUMMYFUNCTION("""COMPUTED_VALUE"""),0.0)</f>
        <v>0</v>
      </c>
      <c r="E9" s="73"/>
      <c r="G9" s="66"/>
      <c r="H9" s="84"/>
      <c r="I9" s="61"/>
      <c r="J9" s="84"/>
    </row>
    <row r="10">
      <c r="A10" s="73" t="str">
        <f>IFERROR(__xludf.DUMMYFUNCTION("""COMPUTED_VALUE"""),"card")</f>
        <v>card</v>
      </c>
      <c r="B10" s="73" t="str">
        <f>IFERROR(__xludf.DUMMYFUNCTION("""COMPUTED_VALUE"""),"Neil (A)")</f>
        <v>Neil (A)</v>
      </c>
      <c r="C10" s="73" t="str">
        <f>IFERROR(__xludf.DUMMYFUNCTION("""COMPUTED_VALUE"""),"Matt (B)")</f>
        <v>Matt (B)</v>
      </c>
      <c r="D10" s="73">
        <f>IFERROR(__xludf.DUMMYFUNCTION("""COMPUTED_VALUE"""),0.0)</f>
        <v>0</v>
      </c>
      <c r="E10" s="73"/>
      <c r="G10" s="66"/>
      <c r="H10" s="84"/>
      <c r="I10" s="61"/>
      <c r="J10" s="84"/>
    </row>
    <row r="11">
      <c r="A11" s="73" t="str">
        <f>IFERROR(__xludf.DUMMYFUNCTION("""COMPUTED_VALUE"""),"card")</f>
        <v>card</v>
      </c>
      <c r="B11" s="73" t="str">
        <f>IFERROR(__xludf.DUMMYFUNCTION("""COMPUTED_VALUE"""),"Riley (R)")</f>
        <v>Riley (R)</v>
      </c>
      <c r="C11" s="73" t="str">
        <f>IFERROR(__xludf.DUMMYFUNCTION("""COMPUTED_VALUE"""),"Paul (A)")</f>
        <v>Paul (A)</v>
      </c>
      <c r="D11" s="73">
        <f>IFERROR(__xludf.DUMMYFUNCTION("""COMPUTED_VALUE"""),0.0)</f>
        <v>0</v>
      </c>
      <c r="E11" s="73"/>
      <c r="G11" s="66"/>
      <c r="H11" s="84"/>
      <c r="I11" s="61"/>
      <c r="J11" s="84"/>
    </row>
    <row r="12">
      <c r="A12" s="73" t="str">
        <f>IFERROR(__xludf.DUMMYFUNCTION("""COMPUTED_VALUE"""),"card")</f>
        <v>card</v>
      </c>
      <c r="B12" s="73" t="str">
        <f>IFERROR(__xludf.DUMMYFUNCTION("""COMPUTED_VALUE"""),"Rob (W)")</f>
        <v>Rob (W)</v>
      </c>
      <c r="C12" s="73" t="str">
        <f>IFERROR(__xludf.DUMMYFUNCTION("""COMPUTED_VALUE"""),"Will (B)")</f>
        <v>Will (B)</v>
      </c>
      <c r="D12" s="73">
        <f>IFERROR(__xludf.DUMMYFUNCTION("""COMPUTED_VALUE"""),0.0)</f>
        <v>0</v>
      </c>
      <c r="E12" s="73"/>
      <c r="G12" s="66"/>
      <c r="H12" s="84"/>
      <c r="I12" s="61"/>
      <c r="J12" s="84"/>
    </row>
    <row r="13">
      <c r="A13" s="66" t="str">
        <f>IFERROR(__xludf.DUMMYFUNCTION("""COMPUTED_VALUE"""),"card")</f>
        <v>card</v>
      </c>
      <c r="B13" s="66" t="str">
        <f>IFERROR(__xludf.DUMMYFUNCTION("""COMPUTED_VALUE"""),"Troy (R)")</f>
        <v>Troy (R)</v>
      </c>
      <c r="C13" s="77" t="str">
        <f>IFERROR(__xludf.DUMMYFUNCTION("""COMPUTED_VALUE"""),"Mitch (A)")</f>
        <v>Mitch (A)</v>
      </c>
      <c r="D13" s="84">
        <f>IFERROR(__xludf.DUMMYFUNCTION("""COMPUTED_VALUE"""),0.0)</f>
        <v>0</v>
      </c>
      <c r="E13" s="7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21.25"/>
    <col customWidth="1" min="3" max="3" width="8.5"/>
    <col customWidth="1" min="4" max="4" width="7.0"/>
    <col customWidth="1" min="5" max="5" width="7.63"/>
    <col customWidth="1" min="6" max="6" width="21.25"/>
    <col customWidth="1" min="7" max="8" width="7.63"/>
    <col customWidth="1" min="9" max="9" width="1.88"/>
    <col customWidth="1" min="10" max="10" width="8.0"/>
    <col customWidth="1" min="11" max="14" width="7.63"/>
    <col customWidth="1" min="15" max="26" width="15.13"/>
  </cols>
  <sheetData>
    <row r="1">
      <c r="A1" s="207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</row>
    <row r="2">
      <c r="A2" s="207"/>
      <c r="B2" s="208" t="s">
        <v>431</v>
      </c>
      <c r="C2" s="208" t="s">
        <v>432</v>
      </c>
      <c r="D2" s="208" t="s">
        <v>411</v>
      </c>
      <c r="E2" s="207"/>
      <c r="F2" s="197" t="s">
        <v>433</v>
      </c>
      <c r="G2" s="198"/>
      <c r="H2" s="198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</row>
    <row r="3">
      <c r="A3" s="207"/>
      <c r="B3" s="207" t="s">
        <v>434</v>
      </c>
      <c r="C3" s="209">
        <v>61.0</v>
      </c>
      <c r="D3" s="210">
        <f>LEFT(B3,2)*C3</f>
        <v>1464</v>
      </c>
      <c r="E3" s="207"/>
      <c r="F3" s="211">
        <v>2.0</v>
      </c>
      <c r="G3" s="207" t="s">
        <v>435</v>
      </c>
      <c r="H3" s="210">
        <f t="shared" ref="H3:H4" si="1">$D$16*F3</f>
        <v>30</v>
      </c>
      <c r="I3" s="207"/>
      <c r="J3" s="211" t="s">
        <v>123</v>
      </c>
      <c r="K3" s="192" t="s">
        <v>140</v>
      </c>
      <c r="L3" s="211" t="s">
        <v>336</v>
      </c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>
      <c r="A4" s="207"/>
      <c r="B4" s="207"/>
      <c r="C4" s="210"/>
      <c r="D4" s="210"/>
      <c r="E4" s="207"/>
      <c r="F4" s="207">
        <v>2.0</v>
      </c>
      <c r="G4" s="207" t="s">
        <v>436</v>
      </c>
      <c r="H4" s="210">
        <f t="shared" si="1"/>
        <v>30</v>
      </c>
      <c r="I4" s="207"/>
      <c r="J4" s="212" t="s">
        <v>104</v>
      </c>
      <c r="K4" s="192" t="s">
        <v>165</v>
      </c>
      <c r="L4" s="211" t="s">
        <v>437</v>
      </c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</row>
    <row r="5">
      <c r="A5" s="207"/>
      <c r="B5" s="207" t="s">
        <v>438</v>
      </c>
      <c r="C5" s="106">
        <v>5.0</v>
      </c>
      <c r="D5" s="210"/>
      <c r="E5" s="207"/>
      <c r="F5" s="207"/>
      <c r="G5" s="207"/>
      <c r="H5" s="210"/>
      <c r="I5" s="207"/>
      <c r="J5" s="207"/>
      <c r="K5" s="185"/>
      <c r="L5" s="185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</row>
    <row r="6" ht="15.0" customHeight="1">
      <c r="A6" s="207"/>
      <c r="B6" s="207" t="s">
        <v>439</v>
      </c>
      <c r="C6" s="213">
        <v>4.0</v>
      </c>
      <c r="D6" s="213">
        <f>C6*24</f>
        <v>96</v>
      </c>
      <c r="E6" s="207"/>
      <c r="F6" s="197" t="s">
        <v>338</v>
      </c>
      <c r="G6" s="198"/>
      <c r="H6" s="198"/>
      <c r="I6" s="207"/>
      <c r="J6" s="207"/>
      <c r="K6" s="207"/>
      <c r="L6" s="207"/>
      <c r="M6" s="185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</row>
    <row r="7">
      <c r="A7" s="207"/>
      <c r="B7" s="214" t="s">
        <v>440</v>
      </c>
      <c r="C7" s="210">
        <f>SUM(C3:C6)</f>
        <v>70</v>
      </c>
      <c r="D7" s="207"/>
      <c r="E7" s="207"/>
      <c r="F7" s="207">
        <v>2.0</v>
      </c>
      <c r="G7" s="207" t="s">
        <v>435</v>
      </c>
      <c r="H7" s="210">
        <f t="shared" ref="H7:H8" si="2">$D$16*F7</f>
        <v>30</v>
      </c>
      <c r="I7" s="207"/>
      <c r="J7" s="207"/>
      <c r="K7" s="185"/>
      <c r="L7" s="207"/>
      <c r="M7" s="185"/>
      <c r="N7" s="185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</row>
    <row r="8">
      <c r="A8" s="207"/>
      <c r="B8" s="207"/>
      <c r="C8" s="207"/>
      <c r="D8" s="207"/>
      <c r="E8" s="207"/>
      <c r="F8" s="207">
        <v>2.0</v>
      </c>
      <c r="G8" s="207" t="s">
        <v>436</v>
      </c>
      <c r="H8" s="210">
        <f t="shared" si="2"/>
        <v>30</v>
      </c>
      <c r="I8" s="207"/>
      <c r="J8" s="207"/>
      <c r="K8" s="185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</row>
    <row r="9">
      <c r="A9" s="207"/>
      <c r="B9" s="207"/>
      <c r="C9" s="207"/>
      <c r="D9" s="207"/>
      <c r="E9" s="207"/>
      <c r="F9" s="207"/>
      <c r="G9" s="214"/>
      <c r="H9" s="210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</row>
    <row r="10">
      <c r="A10" s="207"/>
      <c r="B10" s="207"/>
      <c r="C10" s="207"/>
      <c r="D10" s="207"/>
      <c r="E10" s="207"/>
      <c r="F10" s="197" t="s">
        <v>441</v>
      </c>
      <c r="G10" s="198"/>
      <c r="H10" s="198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</row>
    <row r="11">
      <c r="A11" s="207"/>
      <c r="B11" s="208" t="s">
        <v>442</v>
      </c>
      <c r="C11" s="207"/>
      <c r="D11" s="207"/>
      <c r="E11" s="207"/>
      <c r="F11" s="207"/>
      <c r="G11" s="214" t="s">
        <v>443</v>
      </c>
      <c r="H11" s="210">
        <v>300.0</v>
      </c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</row>
    <row r="12">
      <c r="A12" s="207"/>
      <c r="B12" s="215" t="s">
        <v>444</v>
      </c>
      <c r="C12" s="207"/>
      <c r="D12" s="210">
        <f>150*6</f>
        <v>900</v>
      </c>
      <c r="E12" s="207"/>
      <c r="F12" s="207">
        <v>2.0</v>
      </c>
      <c r="G12" s="207" t="s">
        <v>435</v>
      </c>
      <c r="H12" s="210">
        <f t="shared" ref="H12:H13" si="3">$D$16*F12</f>
        <v>30</v>
      </c>
      <c r="I12" s="207"/>
      <c r="J12" s="207"/>
      <c r="K12" s="185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</row>
    <row r="13">
      <c r="A13" s="207"/>
      <c r="B13" s="215"/>
      <c r="C13" s="207"/>
      <c r="D13" s="207"/>
      <c r="E13" s="207"/>
      <c r="F13" s="207">
        <v>2.0</v>
      </c>
      <c r="G13" s="207" t="s">
        <v>436</v>
      </c>
      <c r="H13" s="210">
        <f t="shared" si="3"/>
        <v>30</v>
      </c>
      <c r="I13" s="207"/>
      <c r="J13" s="207"/>
      <c r="K13" s="185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</row>
    <row r="14">
      <c r="A14" s="207"/>
      <c r="B14" s="215" t="s">
        <v>445</v>
      </c>
      <c r="C14" s="207"/>
      <c r="D14" s="210">
        <f>D3-D12</f>
        <v>564</v>
      </c>
      <c r="E14" s="207"/>
      <c r="F14" s="207"/>
      <c r="G14" s="214"/>
      <c r="H14" s="210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</row>
    <row r="15">
      <c r="A15" s="207"/>
      <c r="B15" s="215"/>
      <c r="C15" s="207"/>
      <c r="D15" s="207"/>
      <c r="E15" s="207"/>
      <c r="F15" s="197" t="s">
        <v>446</v>
      </c>
      <c r="G15" s="198"/>
      <c r="H15" s="198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</row>
    <row r="16">
      <c r="A16" s="207"/>
      <c r="B16" s="215" t="s">
        <v>447</v>
      </c>
      <c r="C16" s="207"/>
      <c r="D16" s="210">
        <v>15.0</v>
      </c>
      <c r="E16" s="207"/>
      <c r="F16" s="207">
        <v>2.0</v>
      </c>
      <c r="G16" s="207" t="s">
        <v>435</v>
      </c>
      <c r="H16" s="210">
        <f t="shared" ref="H16:H17" si="4">$D$16*F16</f>
        <v>30</v>
      </c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</row>
    <row r="17">
      <c r="A17" s="207"/>
      <c r="B17" s="215" t="s">
        <v>448</v>
      </c>
      <c r="C17" s="207"/>
      <c r="D17" s="210">
        <f>D12/6</f>
        <v>150</v>
      </c>
      <c r="E17" s="207"/>
      <c r="F17" s="207">
        <v>2.0</v>
      </c>
      <c r="G17" s="207" t="s">
        <v>436</v>
      </c>
      <c r="H17" s="210">
        <f t="shared" si="4"/>
        <v>30</v>
      </c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</row>
    <row r="18">
      <c r="A18" s="207"/>
      <c r="B18" s="215" t="s">
        <v>449</v>
      </c>
      <c r="C18" s="207"/>
      <c r="D18" s="210">
        <f>H11/4</f>
        <v>75</v>
      </c>
      <c r="E18" s="207"/>
      <c r="F18" s="207"/>
      <c r="G18" s="207"/>
      <c r="H18" s="210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</row>
    <row r="19">
      <c r="A19" s="207"/>
      <c r="B19" s="207"/>
      <c r="C19" s="207"/>
      <c r="D19" s="207"/>
      <c r="E19" s="207"/>
      <c r="F19" s="207"/>
      <c r="G19" s="216" t="s">
        <v>411</v>
      </c>
      <c r="H19" s="217">
        <f>SUM(H2:H17)</f>
        <v>540</v>
      </c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</row>
    <row r="20">
      <c r="A20" s="207"/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</row>
    <row r="21">
      <c r="A21" s="207"/>
      <c r="B21" s="207"/>
      <c r="C21" s="207"/>
      <c r="D21" s="207"/>
      <c r="E21" s="207"/>
      <c r="F21" s="207"/>
      <c r="G21" s="185" t="s">
        <v>450</v>
      </c>
      <c r="H21" s="218">
        <f>D3-H19-D12</f>
        <v>24</v>
      </c>
      <c r="I21" s="207" t="s">
        <v>451</v>
      </c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</row>
    <row r="22">
      <c r="A22" s="207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</row>
    <row r="23">
      <c r="A23" s="207"/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</row>
    <row r="24">
      <c r="A24" s="207"/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</row>
    <row r="25">
      <c r="A25" s="207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</row>
    <row r="26">
      <c r="A26" s="207"/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</row>
    <row r="27">
      <c r="A27" s="207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</row>
    <row r="28">
      <c r="A28" s="207"/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</row>
    <row r="29">
      <c r="A29" s="207"/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</row>
    <row r="30">
      <c r="A30" s="207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</row>
    <row r="31">
      <c r="A31" s="207"/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</row>
    <row r="32">
      <c r="A32" s="207"/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</row>
    <row r="33">
      <c r="A33" s="207"/>
      <c r="B33" s="207"/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</row>
    <row r="34">
      <c r="A34" s="207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</row>
    <row r="35">
      <c r="A35" s="207"/>
      <c r="B35" s="207"/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</row>
    <row r="36">
      <c r="A36" s="207"/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</row>
    <row r="37">
      <c r="A37" s="207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</row>
    <row r="38">
      <c r="A38" s="207"/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</row>
    <row r="39">
      <c r="A39" s="207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</row>
    <row r="40">
      <c r="A40" s="207"/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</row>
    <row r="41">
      <c r="A41" s="207"/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</row>
    <row r="42">
      <c r="A42" s="207"/>
      <c r="B42" s="207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</row>
    <row r="43">
      <c r="A43" s="207"/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</row>
    <row r="44">
      <c r="A44" s="207"/>
      <c r="B44" s="207"/>
      <c r="C44" s="207"/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</row>
    <row r="45">
      <c r="A45" s="207"/>
      <c r="B45" s="207"/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</row>
    <row r="46">
      <c r="A46" s="207"/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</row>
    <row r="47">
      <c r="A47" s="207"/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</row>
    <row r="48">
      <c r="A48" s="207"/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</row>
    <row r="49">
      <c r="A49" s="207"/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</row>
    <row r="50">
      <c r="A50" s="207"/>
      <c r="B50" s="207"/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</row>
    <row r="51">
      <c r="A51" s="207"/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</row>
    <row r="52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</row>
    <row r="53">
      <c r="A53" s="207"/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</row>
    <row r="54">
      <c r="A54" s="207"/>
      <c r="B54" s="207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</row>
    <row r="55">
      <c r="A55" s="207"/>
      <c r="B55" s="207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</row>
    <row r="56">
      <c r="A56" s="207"/>
      <c r="B56" s="207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</row>
    <row r="57">
      <c r="A57" s="207"/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</row>
    <row r="58">
      <c r="A58" s="207"/>
      <c r="B58" s="207"/>
      <c r="C58" s="207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</row>
    <row r="59">
      <c r="A59" s="207"/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</row>
    <row r="60">
      <c r="A60" s="207"/>
      <c r="B60" s="207"/>
      <c r="C60" s="207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</row>
    <row r="61">
      <c r="A61" s="207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</row>
    <row r="62">
      <c r="A62" s="207"/>
      <c r="B62" s="207"/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</row>
    <row r="63">
      <c r="A63" s="207"/>
      <c r="B63" s="207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</row>
    <row r="64">
      <c r="A64" s="207"/>
      <c r="B64" s="207"/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</row>
    <row r="65">
      <c r="A65" s="207"/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</row>
    <row r="66">
      <c r="A66" s="207"/>
      <c r="B66" s="207"/>
      <c r="C66" s="207"/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</row>
    <row r="67">
      <c r="A67" s="207"/>
      <c r="B67" s="207"/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</row>
    <row r="68">
      <c r="A68" s="207"/>
      <c r="B68" s="207"/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</row>
    <row r="69">
      <c r="A69" s="207"/>
      <c r="B69" s="207"/>
      <c r="C69" s="207"/>
      <c r="D69" s="207"/>
      <c r="E69" s="207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</row>
    <row r="70">
      <c r="A70" s="207"/>
      <c r="B70" s="207"/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</row>
    <row r="71">
      <c r="A71" s="207"/>
      <c r="B71" s="207"/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</row>
    <row r="72">
      <c r="A72" s="207"/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</row>
    <row r="73">
      <c r="A73" s="207"/>
      <c r="B73" s="207"/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</row>
    <row r="74">
      <c r="A74" s="207"/>
      <c r="B74" s="207"/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</row>
    <row r="75">
      <c r="A75" s="207"/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</row>
    <row r="76">
      <c r="A76" s="207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</row>
    <row r="77">
      <c r="A77" s="207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</row>
    <row r="78">
      <c r="A78" s="207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</row>
    <row r="79">
      <c r="A79" s="207"/>
      <c r="B79" s="207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</row>
    <row r="80">
      <c r="A80" s="207"/>
      <c r="B80" s="207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</row>
    <row r="81">
      <c r="A81" s="207"/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</row>
    <row r="82">
      <c r="A82" s="207"/>
      <c r="B82" s="207"/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</row>
    <row r="83">
      <c r="A83" s="207"/>
      <c r="B83" s="207"/>
      <c r="C83" s="207"/>
      <c r="D83" s="207"/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</row>
    <row r="84">
      <c r="A84" s="207"/>
      <c r="B84" s="207"/>
      <c r="C84" s="207"/>
      <c r="D84" s="207"/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</row>
    <row r="85">
      <c r="A85" s="207"/>
      <c r="B85" s="207"/>
      <c r="C85" s="207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</row>
    <row r="86">
      <c r="A86" s="207"/>
      <c r="B86" s="207"/>
      <c r="C86" s="207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</row>
    <row r="87">
      <c r="A87" s="207"/>
      <c r="B87" s="207"/>
      <c r="C87" s="207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</row>
    <row r="88">
      <c r="A88" s="207"/>
      <c r="B88" s="207"/>
      <c r="C88" s="207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</row>
    <row r="89">
      <c r="A89" s="207"/>
      <c r="B89" s="207"/>
      <c r="C89" s="207"/>
      <c r="D89" s="207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</row>
    <row r="90">
      <c r="A90" s="207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</row>
    <row r="91">
      <c r="A91" s="207"/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</row>
    <row r="92">
      <c r="A92" s="207"/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</row>
    <row r="93">
      <c r="A93" s="207"/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</row>
    <row r="94">
      <c r="A94" s="207"/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</row>
    <row r="95">
      <c r="A95" s="207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</row>
    <row r="96">
      <c r="A96" s="207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</row>
    <row r="97">
      <c r="A97" s="207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</row>
    <row r="98">
      <c r="A98" s="207"/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</row>
    <row r="99">
      <c r="A99" s="207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</row>
    <row r="100">
      <c r="A100" s="207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</row>
    <row r="101">
      <c r="A101" s="207"/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</row>
    <row r="102">
      <c r="A102" s="207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</row>
    <row r="103">
      <c r="A103" s="207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</row>
    <row r="104">
      <c r="A104" s="207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</row>
    <row r="105">
      <c r="A105" s="207"/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</row>
    <row r="106">
      <c r="A106" s="207"/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</row>
    <row r="107">
      <c r="A107" s="207"/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</row>
    <row r="108">
      <c r="A108" s="207"/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</row>
    <row r="109">
      <c r="A109" s="207"/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</row>
    <row r="110">
      <c r="A110" s="207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</row>
    <row r="111">
      <c r="A111" s="207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</row>
    <row r="112">
      <c r="A112" s="207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</row>
    <row r="113">
      <c r="A113" s="207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</row>
    <row r="114">
      <c r="A114" s="207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</row>
    <row r="115">
      <c r="A115" s="207"/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</row>
    <row r="116">
      <c r="A116" s="207"/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</row>
    <row r="117">
      <c r="A117" s="207"/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</row>
    <row r="118">
      <c r="A118" s="207"/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</row>
    <row r="119">
      <c r="A119" s="207"/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</row>
    <row r="120">
      <c r="A120" s="207"/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</row>
    <row r="121">
      <c r="A121" s="207"/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</row>
    <row r="122">
      <c r="A122" s="207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</row>
    <row r="123">
      <c r="A123" s="207"/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</row>
    <row r="124">
      <c r="A124" s="207"/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</row>
    <row r="125">
      <c r="A125" s="207"/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</row>
    <row r="126">
      <c r="A126" s="207"/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</row>
    <row r="127">
      <c r="A127" s="207"/>
      <c r="B127" s="207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</row>
    <row r="128">
      <c r="A128" s="207"/>
      <c r="B128" s="207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</row>
    <row r="129">
      <c r="A129" s="207"/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</row>
    <row r="130">
      <c r="A130" s="207"/>
      <c r="B130" s="207"/>
      <c r="C130" s="207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</row>
    <row r="131">
      <c r="A131" s="207"/>
      <c r="B131" s="207"/>
      <c r="C131" s="207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</row>
    <row r="132">
      <c r="A132" s="207"/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</row>
    <row r="133">
      <c r="A133" s="207"/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</row>
    <row r="134">
      <c r="A134" s="207"/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</row>
    <row r="135">
      <c r="A135" s="207"/>
      <c r="B135" s="207"/>
      <c r="C135" s="207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</row>
    <row r="136">
      <c r="A136" s="207"/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</row>
    <row r="137">
      <c r="A137" s="207"/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</row>
    <row r="138">
      <c r="A138" s="207"/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</row>
    <row r="139">
      <c r="A139" s="207"/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</row>
    <row r="140">
      <c r="A140" s="207"/>
      <c r="B140" s="207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</row>
    <row r="141">
      <c r="A141" s="207"/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</row>
    <row r="142">
      <c r="A142" s="207"/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</row>
    <row r="143">
      <c r="A143" s="207"/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</row>
    <row r="144">
      <c r="A144" s="207"/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</row>
    <row r="145">
      <c r="A145" s="207"/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</row>
    <row r="146">
      <c r="A146" s="207"/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</row>
    <row r="147">
      <c r="A147" s="207"/>
      <c r="B147" s="207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</row>
    <row r="148">
      <c r="A148" s="207"/>
      <c r="B148" s="207"/>
      <c r="C148" s="207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</row>
    <row r="149">
      <c r="A149" s="207"/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</row>
    <row r="150">
      <c r="A150" s="207"/>
      <c r="B150" s="207"/>
      <c r="C150" s="207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</row>
    <row r="151">
      <c r="A151" s="207"/>
      <c r="B151" s="207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</row>
    <row r="152">
      <c r="A152" s="207"/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</row>
    <row r="153">
      <c r="A153" s="207"/>
      <c r="B153" s="207"/>
      <c r="C153" s="207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</row>
    <row r="154">
      <c r="A154" s="207"/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</row>
    <row r="155">
      <c r="A155" s="207"/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</row>
    <row r="156">
      <c r="A156" s="207"/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</row>
    <row r="157">
      <c r="A157" s="207"/>
      <c r="B157" s="207"/>
      <c r="C157" s="207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</row>
    <row r="158">
      <c r="A158" s="207"/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</row>
    <row r="159">
      <c r="A159" s="207"/>
      <c r="B159" s="207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</row>
    <row r="160">
      <c r="A160" s="207"/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</row>
    <row r="161">
      <c r="A161" s="207"/>
      <c r="B161" s="207"/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</row>
    <row r="162">
      <c r="A162" s="207"/>
      <c r="B162" s="207"/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</row>
    <row r="163">
      <c r="A163" s="207"/>
      <c r="B163" s="207"/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</row>
    <row r="164">
      <c r="A164" s="207"/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</row>
    <row r="165">
      <c r="A165" s="207"/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</row>
    <row r="166">
      <c r="A166" s="207"/>
      <c r="B166" s="207"/>
      <c r="C166" s="207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</row>
    <row r="167">
      <c r="A167" s="207"/>
      <c r="B167" s="207"/>
      <c r="C167" s="207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</row>
    <row r="168">
      <c r="A168" s="207"/>
      <c r="B168" s="207"/>
      <c r="C168" s="207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</row>
    <row r="169">
      <c r="A169" s="207"/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</row>
    <row r="170">
      <c r="A170" s="207"/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</row>
    <row r="171">
      <c r="A171" s="207"/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</row>
    <row r="172">
      <c r="A172" s="207"/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</row>
    <row r="173">
      <c r="A173" s="207"/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</row>
    <row r="174">
      <c r="A174" s="207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</row>
    <row r="175">
      <c r="A175" s="207"/>
      <c r="B175" s="207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</row>
    <row r="176">
      <c r="A176" s="207"/>
      <c r="B176" s="207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</row>
    <row r="177">
      <c r="A177" s="207"/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</row>
    <row r="178">
      <c r="A178" s="207"/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</row>
    <row r="179">
      <c r="A179" s="207"/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</row>
    <row r="180">
      <c r="A180" s="207"/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</row>
    <row r="181">
      <c r="A181" s="207"/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</row>
    <row r="182">
      <c r="A182" s="207"/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</row>
    <row r="183">
      <c r="A183" s="207"/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</row>
    <row r="184">
      <c r="A184" s="207"/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</row>
    <row r="185">
      <c r="A185" s="207"/>
      <c r="B185" s="207"/>
      <c r="C185" s="207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</row>
    <row r="186">
      <c r="A186" s="207"/>
      <c r="B186" s="207"/>
      <c r="C186" s="207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</row>
    <row r="187">
      <c r="A187" s="207"/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</row>
    <row r="188">
      <c r="A188" s="207"/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</row>
    <row r="189">
      <c r="A189" s="207"/>
      <c r="B189" s="207"/>
      <c r="C189" s="207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</row>
    <row r="190">
      <c r="A190" s="207"/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</row>
    <row r="191">
      <c r="A191" s="207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</row>
    <row r="192">
      <c r="A192" s="207"/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</row>
    <row r="193">
      <c r="A193" s="207"/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</row>
    <row r="194">
      <c r="A194" s="207"/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</row>
    <row r="195">
      <c r="A195" s="207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</row>
    <row r="196">
      <c r="A196" s="207"/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</row>
    <row r="197">
      <c r="A197" s="207"/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</row>
    <row r="198">
      <c r="A198" s="207"/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</row>
    <row r="199">
      <c r="A199" s="207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</row>
    <row r="200">
      <c r="A200" s="207"/>
      <c r="B200" s="207"/>
      <c r="C200" s="207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</row>
    <row r="201">
      <c r="A201" s="207"/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</row>
    <row r="202">
      <c r="A202" s="207"/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</row>
    <row r="203">
      <c r="A203" s="207"/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</row>
    <row r="204">
      <c r="A204" s="207"/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</row>
    <row r="205">
      <c r="A205" s="207"/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</row>
    <row r="206">
      <c r="A206" s="207"/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</row>
    <row r="207">
      <c r="A207" s="207"/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</row>
    <row r="208">
      <c r="A208" s="207"/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</row>
    <row r="209">
      <c r="A209" s="207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</row>
    <row r="210">
      <c r="A210" s="207"/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</row>
    <row r="211">
      <c r="A211" s="207"/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</row>
    <row r="212">
      <c r="A212" s="207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</row>
    <row r="213">
      <c r="A213" s="207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</row>
    <row r="214">
      <c r="A214" s="207"/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</row>
    <row r="215">
      <c r="A215" s="207"/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</row>
    <row r="216">
      <c r="A216" s="207"/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</row>
    <row r="217">
      <c r="A217" s="207"/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</row>
    <row r="218">
      <c r="A218" s="207"/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</row>
    <row r="219">
      <c r="A219" s="207"/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</row>
    <row r="220">
      <c r="A220" s="207"/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</row>
    <row r="221">
      <c r="A221" s="207"/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</row>
    <row r="222">
      <c r="A222" s="207"/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</row>
    <row r="223">
      <c r="A223" s="207"/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</row>
    <row r="224">
      <c r="A224" s="207"/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</row>
    <row r="225">
      <c r="A225" s="207"/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</row>
    <row r="226">
      <c r="A226" s="207"/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</row>
    <row r="227">
      <c r="A227" s="207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</row>
    <row r="228">
      <c r="A228" s="207"/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</row>
    <row r="229">
      <c r="A229" s="207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</row>
    <row r="230">
      <c r="A230" s="207"/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</row>
    <row r="231">
      <c r="A231" s="207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</row>
    <row r="232">
      <c r="A232" s="207"/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</row>
    <row r="233">
      <c r="A233" s="207"/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</row>
    <row r="234">
      <c r="A234" s="207"/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</row>
    <row r="235">
      <c r="A235" s="207"/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</row>
    <row r="236">
      <c r="A236" s="207"/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</row>
    <row r="237">
      <c r="A237" s="207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</row>
    <row r="238">
      <c r="A238" s="207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</row>
    <row r="239">
      <c r="A239" s="207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</row>
    <row r="240">
      <c r="A240" s="207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</row>
    <row r="241">
      <c r="A241" s="207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</row>
    <row r="242">
      <c r="A242" s="207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</row>
    <row r="243">
      <c r="A243" s="207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</row>
    <row r="244">
      <c r="A244" s="207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</row>
    <row r="245">
      <c r="A245" s="207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</row>
    <row r="246">
      <c r="A246" s="207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</row>
    <row r="247">
      <c r="A247" s="207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</row>
    <row r="248">
      <c r="A248" s="207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</row>
    <row r="249">
      <c r="A249" s="207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</row>
    <row r="250">
      <c r="A250" s="207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</row>
    <row r="251">
      <c r="A251" s="207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</row>
    <row r="252">
      <c r="A252" s="207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</row>
    <row r="253">
      <c r="A253" s="207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</row>
    <row r="254">
      <c r="A254" s="207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</row>
    <row r="255">
      <c r="A255" s="207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</row>
    <row r="256">
      <c r="A256" s="207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</row>
    <row r="257">
      <c r="A257" s="207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</row>
    <row r="258">
      <c r="A258" s="207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</row>
    <row r="259">
      <c r="A259" s="207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</row>
    <row r="260">
      <c r="A260" s="207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</row>
    <row r="261">
      <c r="A261" s="207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</row>
    <row r="262">
      <c r="A262" s="207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</row>
    <row r="263">
      <c r="A263" s="207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</row>
    <row r="264">
      <c r="A264" s="207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</row>
    <row r="265">
      <c r="A265" s="207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</row>
    <row r="266">
      <c r="A266" s="207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</row>
    <row r="267">
      <c r="A267" s="207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</row>
    <row r="268">
      <c r="A268" s="207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</row>
    <row r="269">
      <c r="A269" s="207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</row>
    <row r="270">
      <c r="A270" s="207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</row>
    <row r="271">
      <c r="A271" s="207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</row>
    <row r="272">
      <c r="A272" s="207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</row>
    <row r="273">
      <c r="A273" s="207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</row>
    <row r="274">
      <c r="A274" s="207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</row>
    <row r="275">
      <c r="A275" s="207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</row>
    <row r="276">
      <c r="A276" s="207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</row>
    <row r="277">
      <c r="A277" s="207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</row>
    <row r="278">
      <c r="A278" s="207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</row>
    <row r="279">
      <c r="A279" s="207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</row>
    <row r="280">
      <c r="A280" s="207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</row>
    <row r="281">
      <c r="A281" s="207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</row>
    <row r="282">
      <c r="A282" s="207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</row>
    <row r="283">
      <c r="A283" s="207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</row>
    <row r="284">
      <c r="A284" s="207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</row>
    <row r="285">
      <c r="A285" s="207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</row>
    <row r="286">
      <c r="A286" s="207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</row>
    <row r="287">
      <c r="A287" s="207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</row>
    <row r="288">
      <c r="A288" s="207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</row>
    <row r="289">
      <c r="A289" s="207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</row>
    <row r="290">
      <c r="A290" s="207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</row>
    <row r="291">
      <c r="A291" s="207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</row>
    <row r="292">
      <c r="A292" s="207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</row>
    <row r="293">
      <c r="A293" s="207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</row>
    <row r="294">
      <c r="A294" s="207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</row>
    <row r="295">
      <c r="A295" s="207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</row>
    <row r="296">
      <c r="A296" s="207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</row>
    <row r="297">
      <c r="A297" s="207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</row>
    <row r="298">
      <c r="A298" s="207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</row>
    <row r="299">
      <c r="A299" s="207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</row>
    <row r="300">
      <c r="A300" s="207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</row>
    <row r="301">
      <c r="A301" s="207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</row>
    <row r="302">
      <c r="A302" s="207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</row>
    <row r="303">
      <c r="A303" s="207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</row>
    <row r="304">
      <c r="A304" s="207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</row>
    <row r="305">
      <c r="A305" s="207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</row>
    <row r="306">
      <c r="A306" s="207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</row>
    <row r="307">
      <c r="A307" s="207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</row>
    <row r="308">
      <c r="A308" s="207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</row>
    <row r="309">
      <c r="A309" s="207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</row>
    <row r="310">
      <c r="A310" s="207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</row>
    <row r="311">
      <c r="A311" s="207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</row>
    <row r="312">
      <c r="A312" s="207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</row>
    <row r="313">
      <c r="A313" s="207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</row>
    <row r="314">
      <c r="A314" s="207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</row>
    <row r="315">
      <c r="A315" s="207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</row>
    <row r="316">
      <c r="A316" s="207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</row>
    <row r="317">
      <c r="A317" s="207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</row>
    <row r="318">
      <c r="A318" s="207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</row>
    <row r="319">
      <c r="A319" s="207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</row>
    <row r="320">
      <c r="A320" s="207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</row>
    <row r="321">
      <c r="A321" s="207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</row>
    <row r="322">
      <c r="A322" s="207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</row>
    <row r="323">
      <c r="A323" s="207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</row>
    <row r="324">
      <c r="A324" s="207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</row>
    <row r="325">
      <c r="A325" s="207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</row>
    <row r="326">
      <c r="A326" s="207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</row>
    <row r="327">
      <c r="A327" s="207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</row>
    <row r="328">
      <c r="A328" s="207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</row>
    <row r="329">
      <c r="A329" s="207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</row>
    <row r="330">
      <c r="A330" s="207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</row>
    <row r="331">
      <c r="A331" s="207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</row>
    <row r="332">
      <c r="A332" s="207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</row>
    <row r="333">
      <c r="A333" s="207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</row>
    <row r="334">
      <c r="A334" s="207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</row>
    <row r="335">
      <c r="A335" s="207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</row>
    <row r="336">
      <c r="A336" s="207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</row>
    <row r="337">
      <c r="A337" s="207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</row>
    <row r="338">
      <c r="A338" s="207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</row>
    <row r="339">
      <c r="A339" s="207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</row>
    <row r="340">
      <c r="A340" s="207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</row>
    <row r="341">
      <c r="A341" s="207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</row>
    <row r="342">
      <c r="A342" s="207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</row>
    <row r="343">
      <c r="A343" s="207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</row>
    <row r="344">
      <c r="A344" s="207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</row>
    <row r="345">
      <c r="A345" s="207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</row>
    <row r="346">
      <c r="A346" s="207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</row>
    <row r="347">
      <c r="A347" s="207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</row>
    <row r="348">
      <c r="A348" s="207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</row>
    <row r="349">
      <c r="A349" s="207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</row>
    <row r="350">
      <c r="A350" s="207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</row>
    <row r="351">
      <c r="A351" s="207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</row>
    <row r="352">
      <c r="A352" s="207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</row>
    <row r="353">
      <c r="A353" s="207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</row>
    <row r="354">
      <c r="A354" s="207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</row>
    <row r="355">
      <c r="A355" s="207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</row>
    <row r="356">
      <c r="A356" s="207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</row>
    <row r="357">
      <c r="A357" s="207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</row>
    <row r="358">
      <c r="A358" s="207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</row>
    <row r="359">
      <c r="A359" s="207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</row>
    <row r="360">
      <c r="A360" s="207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</row>
    <row r="361">
      <c r="A361" s="207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</row>
    <row r="362">
      <c r="A362" s="207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</row>
    <row r="363">
      <c r="A363" s="207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</row>
    <row r="364">
      <c r="A364" s="207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</row>
    <row r="365">
      <c r="A365" s="207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</row>
    <row r="366">
      <c r="A366" s="207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</row>
    <row r="367">
      <c r="A367" s="207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</row>
    <row r="368">
      <c r="A368" s="207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</row>
    <row r="369">
      <c r="A369" s="207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</row>
    <row r="370">
      <c r="A370" s="207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</row>
    <row r="371">
      <c r="A371" s="207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</row>
    <row r="372">
      <c r="A372" s="207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</row>
    <row r="373">
      <c r="A373" s="207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</row>
    <row r="374">
      <c r="A374" s="207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</row>
    <row r="375">
      <c r="A375" s="207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</row>
    <row r="376">
      <c r="A376" s="207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</row>
    <row r="377">
      <c r="A377" s="207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</row>
    <row r="378">
      <c r="A378" s="207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</row>
    <row r="379">
      <c r="A379" s="207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</row>
    <row r="380">
      <c r="A380" s="207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</row>
    <row r="381">
      <c r="A381" s="207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</row>
    <row r="382">
      <c r="A382" s="207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</row>
    <row r="383">
      <c r="A383" s="207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</row>
    <row r="384">
      <c r="A384" s="207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</row>
    <row r="385">
      <c r="A385" s="207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</row>
    <row r="386">
      <c r="A386" s="207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</row>
    <row r="387">
      <c r="A387" s="207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</row>
    <row r="388">
      <c r="A388" s="207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</row>
    <row r="389">
      <c r="A389" s="207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</row>
    <row r="390">
      <c r="A390" s="207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</row>
    <row r="391">
      <c r="A391" s="207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</row>
    <row r="392">
      <c r="A392" s="207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</row>
    <row r="393">
      <c r="A393" s="207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</row>
    <row r="394">
      <c r="A394" s="207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</row>
    <row r="395">
      <c r="A395" s="207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</row>
    <row r="396">
      <c r="A396" s="207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</row>
    <row r="397">
      <c r="A397" s="207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</row>
    <row r="398">
      <c r="A398" s="207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</row>
    <row r="399">
      <c r="A399" s="207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</row>
    <row r="400">
      <c r="A400" s="207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</row>
    <row r="401">
      <c r="A401" s="207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</row>
    <row r="402">
      <c r="A402" s="207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</row>
    <row r="403">
      <c r="A403" s="207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</row>
    <row r="404">
      <c r="A404" s="207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</row>
    <row r="405">
      <c r="A405" s="207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</row>
    <row r="406">
      <c r="A406" s="207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</row>
    <row r="407">
      <c r="A407" s="207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</row>
    <row r="408">
      <c r="A408" s="207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</row>
    <row r="409">
      <c r="A409" s="207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</row>
    <row r="410">
      <c r="A410" s="207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</row>
    <row r="411">
      <c r="A411" s="207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</row>
    <row r="412">
      <c r="A412" s="207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</row>
    <row r="413">
      <c r="A413" s="207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</row>
    <row r="414">
      <c r="A414" s="207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</row>
    <row r="415">
      <c r="A415" s="207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</row>
    <row r="416">
      <c r="A416" s="207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</row>
    <row r="417">
      <c r="A417" s="207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</row>
    <row r="418">
      <c r="A418" s="207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</row>
    <row r="419">
      <c r="A419" s="207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</row>
    <row r="420">
      <c r="A420" s="207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</row>
    <row r="421">
      <c r="A421" s="207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</row>
    <row r="422">
      <c r="A422" s="207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</row>
    <row r="423">
      <c r="A423" s="207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</row>
    <row r="424">
      <c r="A424" s="207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</row>
    <row r="425">
      <c r="A425" s="207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</row>
    <row r="426">
      <c r="A426" s="207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</row>
    <row r="427">
      <c r="A427" s="207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</row>
    <row r="428">
      <c r="A428" s="207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</row>
    <row r="429">
      <c r="A429" s="207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</row>
    <row r="430">
      <c r="A430" s="207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</row>
    <row r="431">
      <c r="A431" s="207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</row>
    <row r="432">
      <c r="A432" s="207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</row>
    <row r="433">
      <c r="A433" s="207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</row>
    <row r="434">
      <c r="A434" s="207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</row>
    <row r="435">
      <c r="A435" s="207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</row>
    <row r="436">
      <c r="A436" s="207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</row>
    <row r="437">
      <c r="A437" s="207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</row>
    <row r="438">
      <c r="A438" s="207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</row>
    <row r="439">
      <c r="A439" s="207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</row>
    <row r="440">
      <c r="A440" s="207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</row>
    <row r="441">
      <c r="A441" s="207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</row>
    <row r="442">
      <c r="A442" s="207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</row>
    <row r="443">
      <c r="A443" s="207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</row>
    <row r="444">
      <c r="A444" s="207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</row>
    <row r="445">
      <c r="A445" s="207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</row>
    <row r="446">
      <c r="A446" s="207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</row>
    <row r="447">
      <c r="A447" s="207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</row>
    <row r="448">
      <c r="A448" s="207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</row>
    <row r="449">
      <c r="A449" s="207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</row>
    <row r="450">
      <c r="A450" s="207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</row>
    <row r="451">
      <c r="A451" s="207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</row>
    <row r="452">
      <c r="A452" s="207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</row>
    <row r="453">
      <c r="A453" s="207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</row>
    <row r="454">
      <c r="A454" s="207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</row>
    <row r="455">
      <c r="A455" s="207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</row>
    <row r="456">
      <c r="A456" s="207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</row>
    <row r="457">
      <c r="A457" s="207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</row>
    <row r="458">
      <c r="A458" s="207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</row>
    <row r="459">
      <c r="A459" s="207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</row>
    <row r="460">
      <c r="A460" s="207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</row>
    <row r="461">
      <c r="A461" s="207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</row>
    <row r="462">
      <c r="A462" s="207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</row>
    <row r="463">
      <c r="A463" s="207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</row>
    <row r="464">
      <c r="A464" s="207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</row>
    <row r="465">
      <c r="A465" s="207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</row>
    <row r="466">
      <c r="A466" s="207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</row>
    <row r="467">
      <c r="A467" s="207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</row>
    <row r="468">
      <c r="A468" s="207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</row>
    <row r="469">
      <c r="A469" s="207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</row>
    <row r="470">
      <c r="A470" s="207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</row>
    <row r="471">
      <c r="A471" s="207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</row>
    <row r="472">
      <c r="A472" s="207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</row>
    <row r="473">
      <c r="A473" s="207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</row>
    <row r="474">
      <c r="A474" s="207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</row>
    <row r="475">
      <c r="A475" s="207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</row>
    <row r="476">
      <c r="A476" s="207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</row>
    <row r="477">
      <c r="A477" s="207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</row>
    <row r="478">
      <c r="A478" s="207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</row>
    <row r="479">
      <c r="A479" s="207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</row>
    <row r="480">
      <c r="A480" s="207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</row>
    <row r="481">
      <c r="A481" s="207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</row>
    <row r="482">
      <c r="A482" s="207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</row>
    <row r="483">
      <c r="A483" s="207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</row>
    <row r="484">
      <c r="A484" s="207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</row>
    <row r="485">
      <c r="A485" s="207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</row>
    <row r="486">
      <c r="A486" s="207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</row>
    <row r="487">
      <c r="A487" s="207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</row>
    <row r="488">
      <c r="A488" s="207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</row>
    <row r="489">
      <c r="A489" s="207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</row>
    <row r="490">
      <c r="A490" s="207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</row>
    <row r="491">
      <c r="A491" s="207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</row>
    <row r="492">
      <c r="A492" s="207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</row>
    <row r="493">
      <c r="A493" s="207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</row>
    <row r="494">
      <c r="A494" s="207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</row>
    <row r="495">
      <c r="A495" s="207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</row>
    <row r="496">
      <c r="A496" s="207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</row>
    <row r="497">
      <c r="A497" s="207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</row>
    <row r="498">
      <c r="A498" s="207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</row>
    <row r="499">
      <c r="A499" s="207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</row>
    <row r="500">
      <c r="A500" s="207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</row>
    <row r="501">
      <c r="A501" s="207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</row>
    <row r="502">
      <c r="A502" s="207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</row>
    <row r="503">
      <c r="A503" s="207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</row>
    <row r="504">
      <c r="A504" s="207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</row>
    <row r="505">
      <c r="A505" s="207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</row>
    <row r="506">
      <c r="A506" s="207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</row>
    <row r="507">
      <c r="A507" s="207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</row>
    <row r="508">
      <c r="A508" s="207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</row>
    <row r="509">
      <c r="A509" s="207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</row>
    <row r="510">
      <c r="A510" s="207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</row>
    <row r="511">
      <c r="A511" s="207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</row>
    <row r="512">
      <c r="A512" s="207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</row>
    <row r="513">
      <c r="A513" s="207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</row>
    <row r="514">
      <c r="A514" s="207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</row>
    <row r="515">
      <c r="A515" s="207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</row>
    <row r="516">
      <c r="A516" s="207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</row>
    <row r="517">
      <c r="A517" s="207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</row>
    <row r="518">
      <c r="A518" s="207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</row>
    <row r="519">
      <c r="A519" s="207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</row>
    <row r="520">
      <c r="A520" s="207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</row>
    <row r="521">
      <c r="A521" s="207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</row>
    <row r="522">
      <c r="A522" s="207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</row>
    <row r="523">
      <c r="A523" s="207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</row>
    <row r="524">
      <c r="A524" s="207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</row>
    <row r="525">
      <c r="A525" s="207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</row>
    <row r="526">
      <c r="A526" s="207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</row>
    <row r="527">
      <c r="A527" s="207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</row>
    <row r="528">
      <c r="A528" s="207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</row>
    <row r="529">
      <c r="A529" s="207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</row>
    <row r="530">
      <c r="A530" s="207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</row>
    <row r="531">
      <c r="A531" s="207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</row>
    <row r="532">
      <c r="A532" s="207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</row>
    <row r="533">
      <c r="A533" s="207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</row>
    <row r="534">
      <c r="A534" s="207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</row>
    <row r="535">
      <c r="A535" s="207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</row>
    <row r="536">
      <c r="A536" s="207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</row>
    <row r="537">
      <c r="A537" s="207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</row>
    <row r="538">
      <c r="A538" s="207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</row>
    <row r="539">
      <c r="A539" s="207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</row>
    <row r="540">
      <c r="A540" s="207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</row>
    <row r="541">
      <c r="A541" s="207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</row>
    <row r="542">
      <c r="A542" s="207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</row>
    <row r="543">
      <c r="A543" s="207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</row>
    <row r="544">
      <c r="A544" s="207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</row>
    <row r="545">
      <c r="A545" s="207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</row>
    <row r="546">
      <c r="A546" s="207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</row>
    <row r="547">
      <c r="A547" s="207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</row>
    <row r="548">
      <c r="A548" s="207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</row>
    <row r="549">
      <c r="A549" s="207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</row>
    <row r="550">
      <c r="A550" s="207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</row>
    <row r="551">
      <c r="A551" s="207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</row>
    <row r="552">
      <c r="A552" s="207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</row>
    <row r="553">
      <c r="A553" s="207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</row>
    <row r="554">
      <c r="A554" s="207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</row>
    <row r="555">
      <c r="A555" s="207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</row>
    <row r="556">
      <c r="A556" s="207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</row>
    <row r="557">
      <c r="A557" s="207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</row>
    <row r="558">
      <c r="A558" s="207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</row>
    <row r="559">
      <c r="A559" s="207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</row>
    <row r="560">
      <c r="A560" s="207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</row>
    <row r="561">
      <c r="A561" s="207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</row>
    <row r="562">
      <c r="A562" s="207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</row>
    <row r="563">
      <c r="A563" s="207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</row>
    <row r="564">
      <c r="A564" s="207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</row>
    <row r="565">
      <c r="A565" s="207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</row>
    <row r="566">
      <c r="A566" s="207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</row>
    <row r="567">
      <c r="A567" s="207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</row>
    <row r="568">
      <c r="A568" s="207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</row>
    <row r="569">
      <c r="A569" s="207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</row>
    <row r="570">
      <c r="A570" s="207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</row>
    <row r="571">
      <c r="A571" s="207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</row>
    <row r="572">
      <c r="A572" s="207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</row>
    <row r="573">
      <c r="A573" s="207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</row>
    <row r="574">
      <c r="A574" s="207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</row>
    <row r="575">
      <c r="A575" s="207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</row>
    <row r="576">
      <c r="A576" s="207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</row>
    <row r="577">
      <c r="A577" s="207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</row>
    <row r="578">
      <c r="A578" s="207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</row>
    <row r="579">
      <c r="A579" s="207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</row>
    <row r="580">
      <c r="A580" s="207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</row>
    <row r="581">
      <c r="A581" s="207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</row>
    <row r="582">
      <c r="A582" s="207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</row>
    <row r="583">
      <c r="A583" s="207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</row>
    <row r="584">
      <c r="A584" s="207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</row>
    <row r="585">
      <c r="A585" s="207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</row>
    <row r="586">
      <c r="A586" s="207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</row>
    <row r="587">
      <c r="A587" s="207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</row>
    <row r="588">
      <c r="A588" s="207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</row>
    <row r="589">
      <c r="A589" s="207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</row>
    <row r="590">
      <c r="A590" s="207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</row>
    <row r="591">
      <c r="A591" s="207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</row>
    <row r="592">
      <c r="A592" s="207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</row>
    <row r="593">
      <c r="A593" s="207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</row>
    <row r="594">
      <c r="A594" s="207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</row>
    <row r="595">
      <c r="A595" s="207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</row>
    <row r="596">
      <c r="A596" s="207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</row>
    <row r="597">
      <c r="A597" s="207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</row>
    <row r="598">
      <c r="A598" s="207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</row>
    <row r="599">
      <c r="A599" s="207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</row>
    <row r="600">
      <c r="A600" s="207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</row>
    <row r="601">
      <c r="A601" s="207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</row>
    <row r="602">
      <c r="A602" s="207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</row>
    <row r="603">
      <c r="A603" s="207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</row>
    <row r="604">
      <c r="A604" s="207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</row>
    <row r="605">
      <c r="A605" s="207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</row>
    <row r="606">
      <c r="A606" s="207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</row>
    <row r="607">
      <c r="A607" s="207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</row>
    <row r="608">
      <c r="A608" s="207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</row>
    <row r="609">
      <c r="A609" s="207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</row>
    <row r="610">
      <c r="A610" s="207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</row>
    <row r="611">
      <c r="A611" s="207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</row>
    <row r="612">
      <c r="A612" s="207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</row>
    <row r="613">
      <c r="A613" s="207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</row>
    <row r="614">
      <c r="A614" s="207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</row>
    <row r="615">
      <c r="A615" s="207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</row>
    <row r="616">
      <c r="A616" s="207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</row>
    <row r="617">
      <c r="A617" s="207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</row>
    <row r="618">
      <c r="A618" s="207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</row>
    <row r="619">
      <c r="A619" s="207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</row>
    <row r="620">
      <c r="A620" s="207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</row>
    <row r="621">
      <c r="A621" s="207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</row>
    <row r="622">
      <c r="A622" s="207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</row>
    <row r="623">
      <c r="A623" s="207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</row>
    <row r="624">
      <c r="A624" s="207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</row>
    <row r="625">
      <c r="A625" s="207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</row>
    <row r="626">
      <c r="A626" s="207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</row>
    <row r="627">
      <c r="A627" s="207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</row>
    <row r="628">
      <c r="A628" s="207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</row>
    <row r="629">
      <c r="A629" s="207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</row>
    <row r="630">
      <c r="A630" s="207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</row>
    <row r="631">
      <c r="A631" s="207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</row>
    <row r="632">
      <c r="A632" s="207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</row>
    <row r="633">
      <c r="A633" s="207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</row>
    <row r="634">
      <c r="A634" s="207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</row>
    <row r="635">
      <c r="A635" s="207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</row>
    <row r="636">
      <c r="A636" s="207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</row>
    <row r="637">
      <c r="A637" s="207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</row>
    <row r="638">
      <c r="A638" s="207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</row>
    <row r="639">
      <c r="A639" s="207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</row>
    <row r="640">
      <c r="A640" s="207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</row>
    <row r="641">
      <c r="A641" s="207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</row>
    <row r="642">
      <c r="A642" s="207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</row>
    <row r="643">
      <c r="A643" s="207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</row>
    <row r="644">
      <c r="A644" s="207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</row>
    <row r="645">
      <c r="A645" s="207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</row>
    <row r="646">
      <c r="A646" s="207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</row>
    <row r="647">
      <c r="A647" s="207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</row>
    <row r="648">
      <c r="A648" s="207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</row>
    <row r="649">
      <c r="A649" s="207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</row>
    <row r="650">
      <c r="A650" s="207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</row>
    <row r="651">
      <c r="A651" s="207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</row>
    <row r="652">
      <c r="A652" s="207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</row>
    <row r="653">
      <c r="A653" s="207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</row>
    <row r="654">
      <c r="A654" s="207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</row>
    <row r="655">
      <c r="A655" s="207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</row>
    <row r="656">
      <c r="A656" s="207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</row>
    <row r="657">
      <c r="A657" s="207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</row>
    <row r="658">
      <c r="A658" s="207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</row>
    <row r="659">
      <c r="A659" s="207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</row>
    <row r="660">
      <c r="A660" s="207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</row>
    <row r="661">
      <c r="A661" s="207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</row>
    <row r="662">
      <c r="A662" s="207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</row>
    <row r="663">
      <c r="A663" s="207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</row>
    <row r="664">
      <c r="A664" s="207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</row>
    <row r="665">
      <c r="A665" s="207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</row>
    <row r="666">
      <c r="A666" s="207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</row>
    <row r="667">
      <c r="A667" s="207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</row>
    <row r="668">
      <c r="A668" s="207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</row>
    <row r="669">
      <c r="A669" s="207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</row>
    <row r="670">
      <c r="A670" s="207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</row>
    <row r="671">
      <c r="A671" s="207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</row>
    <row r="672">
      <c r="A672" s="207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</row>
    <row r="673">
      <c r="A673" s="207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</row>
    <row r="674">
      <c r="A674" s="207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</row>
    <row r="675">
      <c r="A675" s="207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</row>
    <row r="676">
      <c r="A676" s="207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</row>
    <row r="677">
      <c r="A677" s="207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</row>
    <row r="678">
      <c r="A678" s="207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</row>
    <row r="679">
      <c r="A679" s="207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</row>
    <row r="680">
      <c r="A680" s="207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</row>
    <row r="681">
      <c r="A681" s="207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</row>
    <row r="682">
      <c r="A682" s="207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</row>
    <row r="683">
      <c r="A683" s="207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</row>
    <row r="684">
      <c r="A684" s="207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</row>
    <row r="685">
      <c r="A685" s="207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</row>
    <row r="686">
      <c r="A686" s="207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</row>
    <row r="687">
      <c r="A687" s="207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</row>
    <row r="688">
      <c r="A688" s="207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</row>
    <row r="689">
      <c r="A689" s="207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</row>
    <row r="690">
      <c r="A690" s="207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</row>
    <row r="691">
      <c r="A691" s="207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</row>
    <row r="692">
      <c r="A692" s="207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</row>
    <row r="693">
      <c r="A693" s="207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</row>
    <row r="694">
      <c r="A694" s="207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</row>
    <row r="695">
      <c r="A695" s="207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</row>
    <row r="696">
      <c r="A696" s="207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</row>
    <row r="697">
      <c r="A697" s="207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</row>
    <row r="698">
      <c r="A698" s="207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</row>
    <row r="699">
      <c r="A699" s="207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</row>
    <row r="700">
      <c r="A700" s="207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</row>
    <row r="701">
      <c r="A701" s="207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</row>
    <row r="702">
      <c r="A702" s="207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</row>
    <row r="703">
      <c r="A703" s="207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</row>
    <row r="704">
      <c r="A704" s="207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</row>
    <row r="705">
      <c r="A705" s="207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</row>
    <row r="706">
      <c r="A706" s="207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</row>
    <row r="707">
      <c r="A707" s="207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</row>
    <row r="708">
      <c r="A708" s="207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</row>
    <row r="709">
      <c r="A709" s="207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</row>
    <row r="710">
      <c r="A710" s="207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</row>
    <row r="711">
      <c r="A711" s="207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</row>
    <row r="712">
      <c r="A712" s="207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</row>
    <row r="713">
      <c r="A713" s="207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</row>
    <row r="714">
      <c r="A714" s="207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</row>
    <row r="715">
      <c r="A715" s="207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</row>
    <row r="716">
      <c r="A716" s="207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</row>
    <row r="717">
      <c r="A717" s="207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</row>
    <row r="718">
      <c r="A718" s="207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</row>
    <row r="719">
      <c r="A719" s="207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</row>
    <row r="720">
      <c r="A720" s="207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</row>
    <row r="721">
      <c r="A721" s="207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</row>
    <row r="722">
      <c r="A722" s="207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</row>
    <row r="723">
      <c r="A723" s="207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</row>
    <row r="724">
      <c r="A724" s="207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</row>
    <row r="725">
      <c r="A725" s="207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</row>
    <row r="726">
      <c r="A726" s="207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</row>
    <row r="727">
      <c r="A727" s="207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</row>
    <row r="728">
      <c r="A728" s="207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</row>
    <row r="729">
      <c r="A729" s="207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</row>
    <row r="730">
      <c r="A730" s="207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</row>
    <row r="731">
      <c r="A731" s="207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</row>
    <row r="732">
      <c r="A732" s="207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</row>
    <row r="733">
      <c r="A733" s="207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</row>
    <row r="734">
      <c r="A734" s="207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</row>
    <row r="735">
      <c r="A735" s="207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</row>
    <row r="736">
      <c r="A736" s="207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</row>
    <row r="737">
      <c r="A737" s="207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</row>
    <row r="738">
      <c r="A738" s="207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</row>
    <row r="739">
      <c r="A739" s="207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</row>
    <row r="740">
      <c r="A740" s="207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</row>
    <row r="741">
      <c r="A741" s="207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</row>
    <row r="742">
      <c r="A742" s="207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</row>
    <row r="743">
      <c r="A743" s="207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</row>
    <row r="744">
      <c r="A744" s="207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</row>
    <row r="745">
      <c r="A745" s="207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</row>
    <row r="746">
      <c r="A746" s="207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</row>
    <row r="747">
      <c r="A747" s="207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</row>
    <row r="748">
      <c r="A748" s="207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</row>
    <row r="749">
      <c r="A749" s="207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</row>
    <row r="750">
      <c r="A750" s="207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</row>
    <row r="751">
      <c r="A751" s="207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</row>
    <row r="752">
      <c r="A752" s="207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</row>
    <row r="753">
      <c r="A753" s="207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</row>
    <row r="754">
      <c r="A754" s="207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</row>
    <row r="755">
      <c r="A755" s="207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</row>
    <row r="756">
      <c r="A756" s="207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</row>
    <row r="757">
      <c r="A757" s="207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</row>
    <row r="758">
      <c r="A758" s="207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</row>
    <row r="759">
      <c r="A759" s="207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</row>
    <row r="760">
      <c r="A760" s="207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</row>
    <row r="761">
      <c r="A761" s="207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</row>
    <row r="762">
      <c r="A762" s="207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</row>
    <row r="763">
      <c r="A763" s="207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</row>
    <row r="764">
      <c r="A764" s="207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</row>
    <row r="765">
      <c r="A765" s="207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</row>
    <row r="766">
      <c r="A766" s="207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</row>
    <row r="767">
      <c r="A767" s="207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</row>
    <row r="768">
      <c r="A768" s="207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</row>
    <row r="769">
      <c r="A769" s="207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</row>
    <row r="770">
      <c r="A770" s="207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</row>
    <row r="771">
      <c r="A771" s="207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</row>
    <row r="772">
      <c r="A772" s="207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</row>
    <row r="773">
      <c r="A773" s="207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</row>
    <row r="774">
      <c r="A774" s="207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</row>
    <row r="775">
      <c r="A775" s="207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</row>
    <row r="776">
      <c r="A776" s="207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</row>
    <row r="777">
      <c r="A777" s="207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</row>
    <row r="778">
      <c r="A778" s="207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</row>
    <row r="779">
      <c r="A779" s="207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</row>
    <row r="780">
      <c r="A780" s="207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</row>
    <row r="781">
      <c r="A781" s="207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</row>
    <row r="782">
      <c r="A782" s="207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</row>
    <row r="783">
      <c r="A783" s="207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</row>
    <row r="784">
      <c r="A784" s="207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</row>
    <row r="785">
      <c r="A785" s="207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</row>
    <row r="786">
      <c r="A786" s="207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</row>
    <row r="787">
      <c r="A787" s="207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</row>
    <row r="788">
      <c r="A788" s="207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</row>
    <row r="789">
      <c r="A789" s="207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</row>
    <row r="790">
      <c r="A790" s="207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</row>
    <row r="791">
      <c r="A791" s="207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</row>
    <row r="792">
      <c r="A792" s="207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</row>
    <row r="793">
      <c r="A793" s="207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</row>
    <row r="794">
      <c r="A794" s="207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</row>
    <row r="795">
      <c r="A795" s="207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</row>
    <row r="796">
      <c r="A796" s="207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</row>
    <row r="797">
      <c r="A797" s="207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</row>
    <row r="798">
      <c r="A798" s="207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</row>
    <row r="799">
      <c r="A799" s="207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</row>
    <row r="800">
      <c r="A800" s="207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</row>
    <row r="801">
      <c r="A801" s="207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</row>
    <row r="802">
      <c r="A802" s="207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</row>
    <row r="803">
      <c r="A803" s="207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</row>
    <row r="804">
      <c r="A804" s="207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</row>
    <row r="805">
      <c r="A805" s="207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</row>
    <row r="806">
      <c r="A806" s="207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</row>
    <row r="807">
      <c r="A807" s="207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</row>
    <row r="808">
      <c r="A808" s="207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</row>
    <row r="809">
      <c r="A809" s="207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</row>
    <row r="810">
      <c r="A810" s="207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</row>
    <row r="811">
      <c r="A811" s="207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</row>
    <row r="812">
      <c r="A812" s="207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</row>
    <row r="813">
      <c r="A813" s="207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</row>
    <row r="814">
      <c r="A814" s="207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</row>
    <row r="815">
      <c r="A815" s="207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</row>
    <row r="816">
      <c r="A816" s="207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</row>
    <row r="817">
      <c r="A817" s="207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</row>
    <row r="818">
      <c r="A818" s="207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</row>
    <row r="819">
      <c r="A819" s="207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</row>
    <row r="820">
      <c r="A820" s="207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</row>
    <row r="821">
      <c r="A821" s="207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</row>
    <row r="822">
      <c r="A822" s="207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</row>
    <row r="823">
      <c r="A823" s="207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</row>
    <row r="824">
      <c r="A824" s="207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</row>
    <row r="825">
      <c r="A825" s="207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</row>
    <row r="826">
      <c r="A826" s="207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</row>
    <row r="827">
      <c r="A827" s="207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</row>
    <row r="828">
      <c r="A828" s="207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</row>
    <row r="829">
      <c r="A829" s="207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</row>
    <row r="830">
      <c r="A830" s="207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</row>
    <row r="831">
      <c r="A831" s="207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</row>
    <row r="832">
      <c r="A832" s="207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</row>
    <row r="833">
      <c r="A833" s="207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</row>
    <row r="834">
      <c r="A834" s="207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</row>
    <row r="835">
      <c r="A835" s="207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</row>
    <row r="836">
      <c r="A836" s="207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</row>
    <row r="837">
      <c r="A837" s="207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</row>
    <row r="838">
      <c r="A838" s="207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</row>
    <row r="839">
      <c r="A839" s="207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</row>
    <row r="840">
      <c r="A840" s="207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</row>
    <row r="841">
      <c r="A841" s="207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</row>
    <row r="842">
      <c r="A842" s="207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</row>
    <row r="843">
      <c r="A843" s="207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</row>
    <row r="844">
      <c r="A844" s="207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</row>
    <row r="845">
      <c r="A845" s="207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</row>
    <row r="846">
      <c r="A846" s="207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</row>
    <row r="847">
      <c r="A847" s="207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</row>
    <row r="848">
      <c r="A848" s="207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</row>
    <row r="849">
      <c r="A849" s="207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</row>
    <row r="850">
      <c r="A850" s="207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</row>
    <row r="851">
      <c r="A851" s="207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</row>
    <row r="852">
      <c r="A852" s="207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</row>
    <row r="853">
      <c r="A853" s="207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</row>
    <row r="854">
      <c r="A854" s="207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</row>
    <row r="855">
      <c r="A855" s="207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</row>
    <row r="856">
      <c r="A856" s="207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</row>
    <row r="857">
      <c r="A857" s="207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</row>
    <row r="858">
      <c r="A858" s="207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</row>
    <row r="859">
      <c r="A859" s="207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</row>
    <row r="860">
      <c r="A860" s="207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</row>
    <row r="861">
      <c r="A861" s="207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</row>
    <row r="862">
      <c r="A862" s="207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</row>
    <row r="863">
      <c r="A863" s="207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</row>
    <row r="864">
      <c r="A864" s="207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</row>
    <row r="865">
      <c r="A865" s="207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</row>
    <row r="866">
      <c r="A866" s="207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</row>
    <row r="867">
      <c r="A867" s="207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</row>
    <row r="868">
      <c r="A868" s="207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</row>
    <row r="869">
      <c r="A869" s="207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</row>
    <row r="870">
      <c r="A870" s="207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</row>
    <row r="871">
      <c r="A871" s="207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</row>
    <row r="872">
      <c r="A872" s="207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</row>
    <row r="873">
      <c r="A873" s="207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</row>
    <row r="874">
      <c r="A874" s="207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</row>
    <row r="875">
      <c r="A875" s="207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</row>
    <row r="876">
      <c r="A876" s="207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</row>
    <row r="877">
      <c r="A877" s="207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</row>
    <row r="878">
      <c r="A878" s="207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</row>
    <row r="879">
      <c r="A879" s="207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</row>
    <row r="880">
      <c r="A880" s="207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</row>
    <row r="881">
      <c r="A881" s="207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</row>
    <row r="882">
      <c r="A882" s="207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</row>
    <row r="883">
      <c r="A883" s="207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</row>
    <row r="884">
      <c r="A884" s="207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</row>
    <row r="885">
      <c r="A885" s="207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</row>
    <row r="886">
      <c r="A886" s="207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</row>
    <row r="887">
      <c r="A887" s="207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</row>
    <row r="888">
      <c r="A888" s="207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</row>
    <row r="889">
      <c r="A889" s="207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</row>
    <row r="890">
      <c r="A890" s="207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</row>
    <row r="891">
      <c r="A891" s="207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</row>
    <row r="892">
      <c r="A892" s="207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</row>
    <row r="893">
      <c r="A893" s="207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</row>
    <row r="894">
      <c r="A894" s="207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</row>
    <row r="895">
      <c r="A895" s="207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</row>
    <row r="896">
      <c r="A896" s="207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</row>
    <row r="897">
      <c r="A897" s="207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</row>
    <row r="898">
      <c r="A898" s="207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</row>
    <row r="899">
      <c r="A899" s="207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</row>
    <row r="900">
      <c r="A900" s="207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</row>
    <row r="901">
      <c r="A901" s="207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</row>
    <row r="902">
      <c r="A902" s="207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</row>
    <row r="903">
      <c r="A903" s="207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</row>
    <row r="904">
      <c r="A904" s="207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</row>
    <row r="905">
      <c r="A905" s="207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</row>
    <row r="906">
      <c r="A906" s="207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</row>
    <row r="907">
      <c r="A907" s="207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</row>
    <row r="908">
      <c r="A908" s="207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</row>
    <row r="909">
      <c r="A909" s="207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</row>
    <row r="910">
      <c r="A910" s="207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</row>
    <row r="911">
      <c r="A911" s="207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</row>
    <row r="912">
      <c r="A912" s="207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</row>
    <row r="913">
      <c r="A913" s="207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</row>
    <row r="914">
      <c r="A914" s="207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</row>
    <row r="915">
      <c r="A915" s="207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</row>
    <row r="916">
      <c r="A916" s="207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</row>
    <row r="917">
      <c r="A917" s="207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</row>
    <row r="918">
      <c r="A918" s="207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</row>
    <row r="919">
      <c r="A919" s="207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</row>
    <row r="920">
      <c r="A920" s="207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</row>
    <row r="921">
      <c r="A921" s="207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</row>
    <row r="922">
      <c r="A922" s="207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</row>
    <row r="923">
      <c r="A923" s="207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</row>
    <row r="924">
      <c r="A924" s="207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</row>
    <row r="925">
      <c r="A925" s="207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</row>
    <row r="926">
      <c r="A926" s="207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</row>
    <row r="927">
      <c r="A927" s="207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</row>
    <row r="928">
      <c r="A928" s="207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</row>
    <row r="929">
      <c r="A929" s="207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</row>
    <row r="930">
      <c r="A930" s="207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</row>
    <row r="931">
      <c r="A931" s="207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</row>
    <row r="932">
      <c r="A932" s="207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</row>
    <row r="933">
      <c r="A933" s="207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</row>
    <row r="934">
      <c r="A934" s="207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</row>
    <row r="935">
      <c r="A935" s="207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</row>
    <row r="936">
      <c r="A936" s="207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</row>
    <row r="937">
      <c r="A937" s="207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</row>
    <row r="938">
      <c r="A938" s="207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</row>
    <row r="939">
      <c r="A939" s="207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</row>
    <row r="940">
      <c r="A940" s="207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</row>
    <row r="941">
      <c r="A941" s="207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</row>
    <row r="942">
      <c r="A942" s="207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</row>
    <row r="943">
      <c r="A943" s="207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</row>
    <row r="944">
      <c r="A944" s="207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</row>
    <row r="945">
      <c r="A945" s="207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</row>
    <row r="946">
      <c r="A946" s="207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</row>
    <row r="947">
      <c r="A947" s="207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</row>
    <row r="948">
      <c r="A948" s="207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</row>
    <row r="949">
      <c r="A949" s="207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</row>
    <row r="950">
      <c r="A950" s="207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</row>
    <row r="951">
      <c r="A951" s="207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</row>
    <row r="952">
      <c r="A952" s="207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</row>
    <row r="953">
      <c r="A953" s="207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</row>
    <row r="954">
      <c r="A954" s="207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</row>
    <row r="955">
      <c r="A955" s="207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</row>
    <row r="956">
      <c r="A956" s="207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</row>
    <row r="957">
      <c r="A957" s="207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</row>
    <row r="958">
      <c r="A958" s="207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</row>
    <row r="959">
      <c r="A959" s="207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</row>
    <row r="960">
      <c r="A960" s="207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</row>
    <row r="961">
      <c r="A961" s="207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</row>
    <row r="962">
      <c r="A962" s="207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</row>
    <row r="963">
      <c r="A963" s="207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</row>
    <row r="964">
      <c r="A964" s="207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</row>
    <row r="965">
      <c r="A965" s="207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</row>
    <row r="966">
      <c r="A966" s="207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</row>
    <row r="967">
      <c r="A967" s="207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</row>
    <row r="968">
      <c r="A968" s="207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</row>
    <row r="969">
      <c r="A969" s="207"/>
      <c r="B969" s="207"/>
      <c r="C969" s="207"/>
      <c r="D969" s="207"/>
      <c r="E969" s="207"/>
      <c r="F969" s="207"/>
      <c r="G969" s="207"/>
      <c r="H969" s="207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  <c r="W969" s="207"/>
      <c r="X969" s="207"/>
      <c r="Y969" s="207"/>
      <c r="Z969" s="207"/>
    </row>
    <row r="970">
      <c r="A970" s="207"/>
      <c r="B970" s="207"/>
      <c r="C970" s="207"/>
      <c r="D970" s="207"/>
      <c r="E970" s="207"/>
      <c r="F970" s="207"/>
      <c r="G970" s="207"/>
      <c r="H970" s="207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  <c r="W970" s="207"/>
      <c r="X970" s="207"/>
      <c r="Y970" s="207"/>
      <c r="Z970" s="207"/>
    </row>
    <row r="971">
      <c r="A971" s="207"/>
      <c r="B971" s="207"/>
      <c r="C971" s="207"/>
      <c r="D971" s="207"/>
      <c r="E971" s="207"/>
      <c r="F971" s="207"/>
      <c r="G971" s="207"/>
      <c r="H971" s="207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  <c r="W971" s="207"/>
      <c r="X971" s="207"/>
      <c r="Y971" s="207"/>
      <c r="Z971" s="207"/>
    </row>
    <row r="972">
      <c r="A972" s="207"/>
      <c r="B972" s="207"/>
      <c r="C972" s="207"/>
      <c r="D972" s="207"/>
      <c r="E972" s="207"/>
      <c r="F972" s="207"/>
      <c r="G972" s="207"/>
      <c r="H972" s="207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  <c r="W972" s="207"/>
      <c r="X972" s="207"/>
      <c r="Y972" s="207"/>
      <c r="Z972" s="207"/>
    </row>
    <row r="973">
      <c r="A973" s="207"/>
      <c r="B973" s="207"/>
      <c r="C973" s="207"/>
      <c r="D973" s="207"/>
      <c r="E973" s="207"/>
      <c r="F973" s="207"/>
      <c r="G973" s="207"/>
      <c r="H973" s="207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  <c r="W973" s="207"/>
      <c r="X973" s="207"/>
      <c r="Y973" s="207"/>
      <c r="Z973" s="207"/>
    </row>
    <row r="974">
      <c r="A974" s="207"/>
      <c r="B974" s="207"/>
      <c r="C974" s="207"/>
      <c r="D974" s="207"/>
      <c r="E974" s="207"/>
      <c r="F974" s="207"/>
      <c r="G974" s="207"/>
      <c r="H974" s="207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  <c r="W974" s="207"/>
      <c r="X974" s="207"/>
      <c r="Y974" s="207"/>
      <c r="Z974" s="207"/>
    </row>
    <row r="975">
      <c r="A975" s="207"/>
      <c r="B975" s="207"/>
      <c r="C975" s="207"/>
      <c r="D975" s="207"/>
      <c r="E975" s="207"/>
      <c r="F975" s="207"/>
      <c r="G975" s="207"/>
      <c r="H975" s="207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  <c r="W975" s="207"/>
      <c r="X975" s="207"/>
      <c r="Y975" s="207"/>
      <c r="Z975" s="207"/>
    </row>
    <row r="976">
      <c r="A976" s="207"/>
      <c r="B976" s="207"/>
      <c r="C976" s="207"/>
      <c r="D976" s="207"/>
      <c r="E976" s="207"/>
      <c r="F976" s="207"/>
      <c r="G976" s="207"/>
      <c r="H976" s="207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  <c r="W976" s="207"/>
      <c r="X976" s="207"/>
      <c r="Y976" s="207"/>
      <c r="Z976" s="207"/>
    </row>
    <row r="977">
      <c r="A977" s="207"/>
      <c r="B977" s="207"/>
      <c r="C977" s="207"/>
      <c r="D977" s="207"/>
      <c r="E977" s="207"/>
      <c r="F977" s="207"/>
      <c r="G977" s="207"/>
      <c r="H977" s="207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  <c r="W977" s="207"/>
      <c r="X977" s="207"/>
      <c r="Y977" s="207"/>
      <c r="Z977" s="207"/>
    </row>
    <row r="978">
      <c r="A978" s="207"/>
      <c r="B978" s="207"/>
      <c r="C978" s="207"/>
      <c r="D978" s="207"/>
      <c r="E978" s="207"/>
      <c r="F978" s="207"/>
      <c r="G978" s="207"/>
      <c r="H978" s="207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  <c r="W978" s="207"/>
      <c r="X978" s="207"/>
      <c r="Y978" s="207"/>
      <c r="Z978" s="207"/>
    </row>
    <row r="979">
      <c r="A979" s="207"/>
      <c r="B979" s="207"/>
      <c r="C979" s="207"/>
      <c r="D979" s="207"/>
      <c r="E979" s="207"/>
      <c r="F979" s="207"/>
      <c r="G979" s="207"/>
      <c r="H979" s="207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207"/>
      <c r="V979" s="207"/>
      <c r="W979" s="207"/>
      <c r="X979" s="207"/>
      <c r="Y979" s="207"/>
      <c r="Z979" s="207"/>
    </row>
    <row r="980">
      <c r="A980" s="207"/>
      <c r="B980" s="207"/>
      <c r="C980" s="207"/>
      <c r="D980" s="207"/>
      <c r="E980" s="207"/>
      <c r="F980" s="207"/>
      <c r="G980" s="207"/>
      <c r="H980" s="207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207"/>
      <c r="V980" s="207"/>
      <c r="W980" s="207"/>
      <c r="X980" s="207"/>
      <c r="Y980" s="207"/>
      <c r="Z980" s="207"/>
    </row>
    <row r="981">
      <c r="A981" s="207"/>
      <c r="B981" s="207"/>
      <c r="C981" s="207"/>
      <c r="D981" s="207"/>
      <c r="E981" s="207"/>
      <c r="F981" s="207"/>
      <c r="G981" s="207"/>
      <c r="H981" s="207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207"/>
      <c r="V981" s="207"/>
      <c r="W981" s="207"/>
      <c r="X981" s="207"/>
      <c r="Y981" s="207"/>
      <c r="Z981" s="207"/>
    </row>
    <row r="982">
      <c r="A982" s="207"/>
      <c r="B982" s="207"/>
      <c r="C982" s="207"/>
      <c r="D982" s="207"/>
      <c r="E982" s="207"/>
      <c r="F982" s="207"/>
      <c r="G982" s="207"/>
      <c r="H982" s="207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207"/>
      <c r="V982" s="207"/>
      <c r="W982" s="207"/>
      <c r="X982" s="207"/>
      <c r="Y982" s="207"/>
      <c r="Z982" s="207"/>
    </row>
    <row r="983">
      <c r="A983" s="207"/>
      <c r="B983" s="207"/>
      <c r="C983" s="207"/>
      <c r="D983" s="207"/>
      <c r="E983" s="207"/>
      <c r="F983" s="207"/>
      <c r="G983" s="207"/>
      <c r="H983" s="207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207"/>
      <c r="V983" s="207"/>
      <c r="W983" s="207"/>
      <c r="X983" s="207"/>
      <c r="Y983" s="207"/>
      <c r="Z983" s="207"/>
    </row>
    <row r="984">
      <c r="A984" s="207"/>
      <c r="B984" s="207"/>
      <c r="C984" s="207"/>
      <c r="D984" s="207"/>
      <c r="E984" s="207"/>
      <c r="F984" s="207"/>
      <c r="G984" s="207"/>
      <c r="H984" s="207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207"/>
      <c r="V984" s="207"/>
      <c r="W984" s="207"/>
      <c r="X984" s="207"/>
      <c r="Y984" s="207"/>
      <c r="Z984" s="207"/>
    </row>
    <row r="985">
      <c r="A985" s="207"/>
      <c r="B985" s="207"/>
      <c r="C985" s="207"/>
      <c r="D985" s="207"/>
      <c r="E985" s="207"/>
      <c r="F985" s="207"/>
      <c r="G985" s="207"/>
      <c r="H985" s="207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207"/>
      <c r="V985" s="207"/>
      <c r="W985" s="207"/>
      <c r="X985" s="207"/>
      <c r="Y985" s="207"/>
      <c r="Z985" s="207"/>
    </row>
    <row r="986">
      <c r="A986" s="207"/>
      <c r="B986" s="207"/>
      <c r="C986" s="207"/>
      <c r="D986" s="207"/>
      <c r="E986" s="207"/>
      <c r="F986" s="207"/>
      <c r="G986" s="207"/>
      <c r="H986" s="207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207"/>
      <c r="V986" s="207"/>
      <c r="W986" s="207"/>
      <c r="X986" s="207"/>
      <c r="Y986" s="207"/>
      <c r="Z986" s="207"/>
    </row>
    <row r="987">
      <c r="A987" s="207"/>
      <c r="B987" s="207"/>
      <c r="C987" s="207"/>
      <c r="D987" s="207"/>
      <c r="E987" s="207"/>
      <c r="F987" s="207"/>
      <c r="G987" s="207"/>
      <c r="H987" s="207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207"/>
      <c r="V987" s="207"/>
      <c r="W987" s="207"/>
      <c r="X987" s="207"/>
      <c r="Y987" s="207"/>
      <c r="Z987" s="207"/>
    </row>
    <row r="988">
      <c r="A988" s="207"/>
      <c r="B988" s="207"/>
      <c r="C988" s="207"/>
      <c r="D988" s="207"/>
      <c r="E988" s="207"/>
      <c r="F988" s="207"/>
      <c r="G988" s="207"/>
      <c r="H988" s="207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207"/>
      <c r="V988" s="207"/>
      <c r="W988" s="207"/>
      <c r="X988" s="207"/>
      <c r="Y988" s="207"/>
      <c r="Z988" s="207"/>
    </row>
    <row r="989">
      <c r="A989" s="207"/>
      <c r="B989" s="207"/>
      <c r="C989" s="207"/>
      <c r="D989" s="207"/>
      <c r="E989" s="207"/>
      <c r="F989" s="207"/>
      <c r="G989" s="207"/>
      <c r="H989" s="207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207"/>
      <c r="V989" s="207"/>
      <c r="W989" s="207"/>
      <c r="X989" s="207"/>
      <c r="Y989" s="207"/>
      <c r="Z989" s="207"/>
    </row>
    <row r="990">
      <c r="A990" s="207"/>
      <c r="B990" s="207"/>
      <c r="C990" s="207"/>
      <c r="D990" s="207"/>
      <c r="E990" s="207"/>
      <c r="F990" s="207"/>
      <c r="G990" s="207"/>
      <c r="H990" s="207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207"/>
      <c r="V990" s="207"/>
      <c r="W990" s="207"/>
      <c r="X990" s="207"/>
      <c r="Y990" s="207"/>
      <c r="Z990" s="207"/>
    </row>
    <row r="991">
      <c r="A991" s="207"/>
      <c r="B991" s="207"/>
      <c r="C991" s="207"/>
      <c r="D991" s="207"/>
      <c r="E991" s="207"/>
      <c r="F991" s="207"/>
      <c r="G991" s="207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207"/>
      <c r="V991" s="207"/>
      <c r="W991" s="207"/>
      <c r="X991" s="207"/>
      <c r="Y991" s="207"/>
      <c r="Z991" s="207"/>
    </row>
    <row r="992">
      <c r="A992" s="207"/>
      <c r="B992" s="207"/>
      <c r="C992" s="207"/>
      <c r="D992" s="207"/>
      <c r="E992" s="207"/>
      <c r="F992" s="207"/>
      <c r="G992" s="207"/>
      <c r="H992" s="207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207"/>
      <c r="V992" s="207"/>
      <c r="W992" s="207"/>
      <c r="X992" s="207"/>
      <c r="Y992" s="207"/>
      <c r="Z992" s="207"/>
    </row>
    <row r="993">
      <c r="A993" s="207"/>
      <c r="B993" s="207"/>
      <c r="C993" s="207"/>
      <c r="D993" s="207"/>
      <c r="E993" s="207"/>
      <c r="F993" s="207"/>
      <c r="G993" s="207"/>
      <c r="H993" s="207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207"/>
      <c r="V993" s="207"/>
      <c r="W993" s="207"/>
      <c r="X993" s="207"/>
      <c r="Y993" s="207"/>
      <c r="Z993" s="207"/>
    </row>
    <row r="994">
      <c r="A994" s="207"/>
      <c r="B994" s="207"/>
      <c r="C994" s="207"/>
      <c r="D994" s="207"/>
      <c r="E994" s="207"/>
      <c r="F994" s="207"/>
      <c r="G994" s="207"/>
      <c r="H994" s="207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207"/>
      <c r="V994" s="207"/>
      <c r="W994" s="207"/>
      <c r="X994" s="207"/>
      <c r="Y994" s="207"/>
      <c r="Z994" s="207"/>
    </row>
    <row r="995">
      <c r="A995" s="207"/>
      <c r="B995" s="207"/>
      <c r="C995" s="207"/>
      <c r="D995" s="207"/>
      <c r="E995" s="207"/>
      <c r="F995" s="207"/>
      <c r="G995" s="207"/>
      <c r="H995" s="207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207"/>
      <c r="V995" s="207"/>
      <c r="W995" s="207"/>
      <c r="X995" s="207"/>
      <c r="Y995" s="207"/>
      <c r="Z995" s="207"/>
    </row>
    <row r="996">
      <c r="A996" s="207"/>
      <c r="B996" s="207"/>
      <c r="C996" s="207"/>
      <c r="D996" s="207"/>
      <c r="E996" s="207"/>
      <c r="F996" s="207"/>
      <c r="G996" s="207"/>
      <c r="H996" s="207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207"/>
      <c r="V996" s="207"/>
      <c r="W996" s="207"/>
      <c r="X996" s="207"/>
      <c r="Y996" s="207"/>
      <c r="Z996" s="207"/>
    </row>
    <row r="997">
      <c r="A997" s="207"/>
      <c r="B997" s="207"/>
      <c r="C997" s="207"/>
      <c r="D997" s="207"/>
      <c r="E997" s="207"/>
      <c r="F997" s="207"/>
      <c r="G997" s="207"/>
      <c r="H997" s="207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207"/>
      <c r="V997" s="207"/>
      <c r="W997" s="207"/>
      <c r="X997" s="207"/>
      <c r="Y997" s="207"/>
      <c r="Z997" s="207"/>
    </row>
    <row r="998">
      <c r="A998" s="207"/>
      <c r="B998" s="207"/>
      <c r="C998" s="207"/>
      <c r="D998" s="207"/>
      <c r="E998" s="207"/>
      <c r="F998" s="207"/>
      <c r="G998" s="207"/>
      <c r="H998" s="207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207"/>
      <c r="V998" s="207"/>
      <c r="W998" s="207"/>
      <c r="X998" s="207"/>
      <c r="Y998" s="207"/>
      <c r="Z998" s="207"/>
    </row>
    <row r="999">
      <c r="A999" s="207"/>
      <c r="B999" s="207"/>
      <c r="C999" s="207"/>
      <c r="D999" s="207"/>
      <c r="E999" s="207"/>
      <c r="F999" s="207"/>
      <c r="G999" s="207"/>
      <c r="H999" s="207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207"/>
      <c r="V999" s="207"/>
      <c r="W999" s="207"/>
      <c r="X999" s="207"/>
      <c r="Y999" s="207"/>
      <c r="Z999" s="207"/>
    </row>
    <row r="1000">
      <c r="A1000" s="207"/>
      <c r="B1000" s="207"/>
      <c r="C1000" s="207"/>
      <c r="D1000" s="207"/>
      <c r="E1000" s="207"/>
      <c r="F1000" s="207"/>
      <c r="G1000" s="207"/>
      <c r="H1000" s="207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207"/>
      <c r="V1000" s="207"/>
      <c r="W1000" s="207"/>
      <c r="X1000" s="207"/>
      <c r="Y1000" s="207"/>
      <c r="Z1000" s="207"/>
    </row>
  </sheetData>
  <mergeCells count="4">
    <mergeCell ref="F2:H2"/>
    <mergeCell ref="F6:H6"/>
    <mergeCell ref="F10:H10"/>
    <mergeCell ref="F15:H15"/>
  </mergeCells>
  <printOptions/>
  <pageMargins bottom="0.75" footer="0.0" header="0.0" left="0.7" right="0.7" top="0.75"/>
  <pageSetup orientation="portrait"/>
  <drawing r:id="rId1"/>
</worksheet>
</file>